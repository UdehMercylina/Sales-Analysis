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USER\Desktop\EXCel datasets\"/>
    </mc:Choice>
  </mc:AlternateContent>
  <xr:revisionPtr revIDLastSave="0" documentId="13_ncr:1_{36C08D06-B75B-4D6D-9A51-57D1A766F720}" xr6:coauthVersionLast="47" xr6:coauthVersionMax="47" xr10:uidLastSave="{00000000-0000-0000-0000-000000000000}"/>
  <bookViews>
    <workbookView xWindow="-110" yWindow="-110" windowWidth="19420" windowHeight="10300" activeTab="3" xr2:uid="{3D9A4B32-94B9-48BD-B353-29EB3617AB6D}"/>
  </bookViews>
  <sheets>
    <sheet name="sales_dataset" sheetId="1" r:id="rId1"/>
    <sheet name="sales_dataset (2)" sheetId="2" r:id="rId2"/>
    <sheet name="Pivot Table" sheetId="3" r:id="rId3"/>
    <sheet name="Dashboard" sheetId="4" r:id="rId4"/>
  </sheets>
  <definedNames>
    <definedName name="_xlcn.WorksheetConnection_sales_datasetpractice.xlsxTable11" hidden="1">Table1[]</definedName>
    <definedName name="Slicer_category">#N/A</definedName>
    <definedName name="Slicer_discount">#N/A</definedName>
    <definedName name="Slicer_product">#N/A</definedName>
    <definedName name="Slicer_year">#N/A</definedName>
  </definedNames>
  <calcPr calcId="191029"/>
  <pivotCaches>
    <pivotCache cacheId="14" r:id="rId5"/>
    <pivotCache cacheId="15" r:id="rId6"/>
    <pivotCache cacheId="16" r:id="rId7"/>
    <pivotCache cacheId="17" r:id="rId8"/>
    <pivotCache cacheId="18" r:id="rId9"/>
    <pivotCache cacheId="19" r:id="rId10"/>
    <pivotCache cacheId="20" r:id="rId11"/>
    <pivotCache cacheId="21" r:id="rId12"/>
    <pivotCache cacheId="22" r:id="rId13"/>
    <pivotCache cacheId="23" r:id="rId14"/>
    <pivotCache cacheId="24" r:id="rId15"/>
    <pivotCache cacheId="25" r:id="rId16"/>
  </pivotCaches>
  <extLst>
    <ext xmlns:x14="http://schemas.microsoft.com/office/spreadsheetml/2009/9/main" uri="{876F7934-8845-4945-9796-88D515C7AA90}">
      <x14:pivotCaches>
        <pivotCache cacheId="26"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taset practic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8" i="2" l="1"/>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2" i="1"/>
  <c r="V42" i="3"/>
  <c r="V34" i="3"/>
  <c r="V31" i="3"/>
  <c r="V28" i="3"/>
  <c r="V2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5D4645-94E7-44E5-B2E5-7EB3D470CBD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4C8E79-6184-4D7D-8981-EB7C819CA16C}" name="WorksheetConnection_sales_dataset practice.xlsx!Table1" type="102" refreshedVersion="7" minRefreshableVersion="5">
    <extLst>
      <ext xmlns:x15="http://schemas.microsoft.com/office/spreadsheetml/2010/11/main" uri="{DE250136-89BD-433C-8126-D09CA5730AF9}">
        <x15:connection id="Table1" autoDelete="1">
          <x15:rangePr sourceName="_xlcn.WorksheetConnection_sales_datasetpractice.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year].[All]}"/>
  </metadataStrings>
  <mdxMetadata count="1">
    <mdx n="0" f="s">
      <ms ns="1" c="0"/>
    </mdx>
  </mdxMetadata>
  <valueMetadata count="1">
    <bk>
      <rc t="1" v="0"/>
    </bk>
  </valueMetadata>
</metadata>
</file>

<file path=xl/sharedStrings.xml><?xml version="1.0" encoding="utf-8"?>
<sst xmlns="http://schemas.openxmlformats.org/spreadsheetml/2006/main" count="1266" uniqueCount="139">
  <si>
    <t>customer_name</t>
  </si>
  <si>
    <t>product</t>
  </si>
  <si>
    <t>category</t>
  </si>
  <si>
    <t>year</t>
  </si>
  <si>
    <t>profit</t>
  </si>
  <si>
    <t>revenue</t>
  </si>
  <si>
    <t>quantity</t>
  </si>
  <si>
    <t>discount</t>
  </si>
  <si>
    <t>John Smith</t>
  </si>
  <si>
    <t>Smartphone</t>
  </si>
  <si>
    <t>Electronics</t>
  </si>
  <si>
    <t>Emily Johnson</t>
  </si>
  <si>
    <t>Laptop</t>
  </si>
  <si>
    <t>Michael Chen</t>
  </si>
  <si>
    <t>Desk</t>
  </si>
  <si>
    <t>Furniture</t>
  </si>
  <si>
    <t>Sarah Davis</t>
  </si>
  <si>
    <t>Headphones</t>
  </si>
  <si>
    <t>David Wilson</t>
  </si>
  <si>
    <t>Chair</t>
  </si>
  <si>
    <t>Laura Martinez</t>
  </si>
  <si>
    <t>Tablet</t>
  </si>
  <si>
    <t>James Brown</t>
  </si>
  <si>
    <t>Bookshelf</t>
  </si>
  <si>
    <t>Emma Taylor</t>
  </si>
  <si>
    <t>Monitor</t>
  </si>
  <si>
    <t>Daniel Lee</t>
  </si>
  <si>
    <t>Office Chair</t>
  </si>
  <si>
    <t>Olivia Garcia</t>
  </si>
  <si>
    <t>Smartwatch</t>
  </si>
  <si>
    <t>William Harris</t>
  </si>
  <si>
    <t>Table</t>
  </si>
  <si>
    <t>Sophia Clark</t>
  </si>
  <si>
    <t>Wireless Mouse</t>
  </si>
  <si>
    <t>Liam Lewis</t>
  </si>
  <si>
    <t>Printer</t>
  </si>
  <si>
    <t>Ava Walker</t>
  </si>
  <si>
    <t>Lamp</t>
  </si>
  <si>
    <t>Noah Young</t>
  </si>
  <si>
    <t>Keyboard</t>
  </si>
  <si>
    <t>Isabella King</t>
  </si>
  <si>
    <t>Cabinet</t>
  </si>
  <si>
    <t>Mason Wright</t>
  </si>
  <si>
    <t>Speaker</t>
  </si>
  <si>
    <t>Charlotte Lopez</t>
  </si>
  <si>
    <t>Elijah Hill</t>
  </si>
  <si>
    <t>Webcam</t>
  </si>
  <si>
    <t>Amelia Scott</t>
  </si>
  <si>
    <t>Sofa</t>
  </si>
  <si>
    <t>Lucas Adams</t>
  </si>
  <si>
    <t>Mouse Pad</t>
  </si>
  <si>
    <t>Mia Green</t>
  </si>
  <si>
    <t>Alexander Baker</t>
  </si>
  <si>
    <t>Harper Gonzalez</t>
  </si>
  <si>
    <t>Evelyn Nelson</t>
  </si>
  <si>
    <t>Jack Carter</t>
  </si>
  <si>
    <t>Sofia Mitchell</t>
  </si>
  <si>
    <t>Henry Perez</t>
  </si>
  <si>
    <t>Aria Roberts</t>
  </si>
  <si>
    <t>Sebastian Turner</t>
  </si>
  <si>
    <t>Avery Phillips</t>
  </si>
  <si>
    <t>Scarlett Campbell</t>
  </si>
  <si>
    <t>Carter Parker</t>
  </si>
  <si>
    <t>Chloe Evans</t>
  </si>
  <si>
    <t>Grayson Edwards</t>
  </si>
  <si>
    <t>Layla Sanders</t>
  </si>
  <si>
    <t>Gabriel Rivera</t>
  </si>
  <si>
    <t>Zoey Brooks</t>
  </si>
  <si>
    <t>Julian Cox</t>
  </si>
  <si>
    <t>Lily Ward</t>
  </si>
  <si>
    <t>Wyatt Kelly</t>
  </si>
  <si>
    <t>Hannah Bailey</t>
  </si>
  <si>
    <t>Owen Gray</t>
  </si>
  <si>
    <t>Addison Price</t>
  </si>
  <si>
    <t>Luke Fisher</t>
  </si>
  <si>
    <t>Brooklyn Reed</t>
  </si>
  <si>
    <t>Dylan Russell</t>
  </si>
  <si>
    <t>Aubrey Hughes</t>
  </si>
  <si>
    <t>Nathan Bell</t>
  </si>
  <si>
    <t>Madelyn Murphy</t>
  </si>
  <si>
    <t>Caleb Cox</t>
  </si>
  <si>
    <t>Ellie Barnes</t>
  </si>
  <si>
    <t>Isaac Foster</t>
  </si>
  <si>
    <t>Hazel Wood</t>
  </si>
  <si>
    <t>Leo Rivera</t>
  </si>
  <si>
    <t>Violet Hayes</t>
  </si>
  <si>
    <t>Eli Jenkins</t>
  </si>
  <si>
    <t>Lillian Perry</t>
  </si>
  <si>
    <t>Asher Long</t>
  </si>
  <si>
    <t>Stella Cox</t>
  </si>
  <si>
    <t>Hudson Ford</t>
  </si>
  <si>
    <t>Clara Kim</t>
  </si>
  <si>
    <t>Ezra Patel</t>
  </si>
  <si>
    <t>Aurora Ortiz</t>
  </si>
  <si>
    <t>Jasper Lane</t>
  </si>
  <si>
    <t>Ivy Chen</t>
  </si>
  <si>
    <t>Milo Cruz</t>
  </si>
  <si>
    <t>Freya Wells</t>
  </si>
  <si>
    <t>Declan Fox</t>
  </si>
  <si>
    <t>Esme Stone</t>
  </si>
  <si>
    <t>Arlo Dean</t>
  </si>
  <si>
    <t>Lila Hart</t>
  </si>
  <si>
    <t>Finn Cole</t>
  </si>
  <si>
    <t>Sienna Black</t>
  </si>
  <si>
    <t>Theo Dunn</t>
  </si>
  <si>
    <t>Nova Reid</t>
  </si>
  <si>
    <t>Jude Payne</t>
  </si>
  <si>
    <t>Eliza Fox</t>
  </si>
  <si>
    <t>Rory Hunt</t>
  </si>
  <si>
    <t>Lyric James</t>
  </si>
  <si>
    <t>Kian Ross</t>
  </si>
  <si>
    <t>Maeve Shaw</t>
  </si>
  <si>
    <t>Reid Burke</t>
  </si>
  <si>
    <t>Luna Ford</t>
  </si>
  <si>
    <t>Silas Webb</t>
  </si>
  <si>
    <t>Cora Miles</t>
  </si>
  <si>
    <t>Emmett Reid</t>
  </si>
  <si>
    <t>Iris Lowe</t>
  </si>
  <si>
    <t>Jett Lane</t>
  </si>
  <si>
    <t>Sloane Kim</t>
  </si>
  <si>
    <t>Knox Perry</t>
  </si>
  <si>
    <t>Wren Long</t>
  </si>
  <si>
    <t>Zane Ortiz</t>
  </si>
  <si>
    <t>June Chen</t>
  </si>
  <si>
    <t>Atlas Cruz</t>
  </si>
  <si>
    <t>Lyra Wells</t>
  </si>
  <si>
    <t>Otto Fox</t>
  </si>
  <si>
    <t>Vera Stone</t>
  </si>
  <si>
    <t xml:space="preserve">profit margin </t>
  </si>
  <si>
    <t>Sum of profit</t>
  </si>
  <si>
    <t>Grand Total</t>
  </si>
  <si>
    <t>Average of profit margin</t>
  </si>
  <si>
    <t>Sum of quantity</t>
  </si>
  <si>
    <t>Sum of revenue</t>
  </si>
  <si>
    <t>Average of discount</t>
  </si>
  <si>
    <t>Electronics Total</t>
  </si>
  <si>
    <t>Furniture Total</t>
  </si>
  <si>
    <t>Count of product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</si>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</sst>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_-[$€-2]\ * #,##0.00_-;\-[$€-2]\ * #,##0.00_-;_-[$€-2]\ * &quot;-&quot;??_-;_-@_-"/>
    <numFmt numFmtId="165" formatCode="_-[$€-2]\ * #,##0_-;\-[$€-2]\ * #,##0_-;_-[$€-2]\ *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B0F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9" fontId="0" fillId="0" borderId="0" xfId="43" applyFont="1"/>
    <xf numFmtId="164" fontId="0" fillId="0" borderId="0" xfId="0" applyNumberFormat="1"/>
    <xf numFmtId="44" fontId="0" fillId="0" borderId="0" xfId="42" applyFont="1"/>
    <xf numFmtId="165" fontId="0" fillId="0" borderId="0" xfId="0" applyNumberFormat="1"/>
    <xf numFmtId="0" fontId="0" fillId="0" borderId="0" xfId="0" pivotButton="1"/>
    <xf numFmtId="9" fontId="0" fillId="0" borderId="0" xfId="0" applyNumberFormat="1"/>
    <xf numFmtId="10" fontId="0" fillId="0" borderId="0" xfId="0" applyNumberFormat="1"/>
    <xf numFmtId="0" fontId="14" fillId="33" borderId="0" xfId="0" applyFont="1" applyFill="1"/>
    <xf numFmtId="0" fontId="0" fillId="33" borderId="0" xfId="0" applyFill="1"/>
    <xf numFmtId="10" fontId="0" fillId="0" borderId="0" xfId="43" applyNumberFormat="1" applyFont="1"/>
    <xf numFmtId="0" fontId="18" fillId="33"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0">
    <dxf>
      <numFmt numFmtId="165" formatCode="_-[$€-2]\ * #,##0_-;\-[$€-2]\ * #,##0_-;_-[$€-2]\ * &quot;-&quot;??_-;_-@_-"/>
    </dxf>
    <dxf>
      <numFmt numFmtId="14" formatCode="0.00%"/>
    </dxf>
    <dxf>
      <numFmt numFmtId="164" formatCode="_-[$€-2]\ * #,##0.00_-;\-[$€-2]\ * #,##0.00_-;_-[$€-2]\ * &quot;-&quot;??_-;_-@_-"/>
    </dxf>
    <dxf>
      <numFmt numFmtId="164" formatCode="_-[$€-2]\ * #,##0.00_-;\-[$€-2]\ * #,##0.00_-;_-[$€-2]\ * &quot;-&quot;??_-;_-@_-"/>
    </dxf>
    <dxf>
      <numFmt numFmtId="165" formatCode="_-[$€-2]\ * #,##0_-;\-[$€-2]\ * #,##0_-;_-[$€-2]\ * &quot;-&quot;??_-;_-@_-"/>
    </dxf>
    <dxf>
      <numFmt numFmtId="14" formatCode="0.00%"/>
    </dxf>
    <dxf>
      <numFmt numFmtId="164" formatCode="_-[$€-2]\ * #,##0.00_-;\-[$€-2]\ * #,##0.00_-;_-[$€-2]\ * &quot;-&quot;??_-;_-@_-"/>
    </dxf>
    <dxf>
      <numFmt numFmtId="164" formatCode="_-[$€-2]\ * #,##0.00_-;\-[$€-2]\ * #,##0.00_-;_-[$€-2]\ * &quot;-&quot;??_-;_-@_-"/>
    </dxf>
    <dxf>
      <numFmt numFmtId="165" formatCode="_-[$€-2]\ * #,##0_-;\-[$€-2]\ * #,##0_-;_-[$€-2]\ * &quot;-&quot;??_-;_-@_-"/>
    </dxf>
    <dxf>
      <numFmt numFmtId="164" formatCode="_-[$€-2]\ * #,##0.00_-;\-[$€-2]\ * #,##0.00_-;_-[$€-2]\ * &quot;-&quot;??_-;_-@_-"/>
    </dxf>
    <dxf>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2]\ * #,##0_-;\-[$€-2]\ * #,##0_-;_-[$€-2]\ * &quot;-&quot;??_-;_-@_-"/>
    </dxf>
    <dxf>
      <numFmt numFmtId="164" formatCode="_-[$€-2]\ * #,##0.00_-;\-[$€-2]\ * #,##0.00_-;_-[$€-2]\ *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2]\ * #,##0_-;\-[$€-2]\ * #,##0_-;_-[$€-2]\ * &quot;-&quot;??_-;_-@_-"/>
    </dxf>
    <dxf>
      <numFmt numFmtId="164" formatCode="_-[$€-2]\ * #,##0.00_-;\-[$€-2]\ * #,##0.00_-;_-[$€-2]\ * &quot;-&quot;??_-;_-@_-"/>
    </dxf>
    <dxf>
      <font>
        <b val="0"/>
        <i val="0"/>
        <name val="Arial Black"/>
        <family val="2"/>
        <scheme val="none"/>
      </font>
      <fill>
        <patternFill>
          <bgColor rgb="FF0070C0"/>
        </patternFill>
      </fill>
    </dxf>
  </dxfs>
  <tableStyles count="1" defaultTableStyle="TableStyleMedium2" defaultPivotStyle="PivotStyleLight16">
    <tableStyle name="Slicer Style 1" pivot="0" table="0" count="1" xr9:uid="{6517DB0E-968D-42C0-988A-9AA6FF9F6DC2}">
      <tableStyleElement type="headerRow" dxfId="1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practice.xlsx]Pivot Table!PivotTable2</c:name>
    <c:fmtId val="1"/>
  </c:pivotSource>
  <c:chart>
    <c:title>
      <c:tx>
        <c:rich>
          <a:bodyPr rot="0" spcFirstLastPara="1" vertOverflow="ellipsis" vert="horz" wrap="square" anchor="ctr" anchorCtr="1"/>
          <a:lstStyle/>
          <a:p>
            <a:pPr>
              <a:defRPr sz="1100" b="0" i="0" u="none" strike="noStrike" kern="1200" spc="0" baseline="0">
                <a:ln>
                  <a:solidFill>
                    <a:srgbClr val="0070C0"/>
                  </a:solidFill>
                </a:ln>
                <a:solidFill>
                  <a:srgbClr val="0070C0"/>
                </a:solidFill>
                <a:latin typeface="+mn-lt"/>
                <a:ea typeface="+mn-ea"/>
                <a:cs typeface="+mn-cs"/>
              </a:defRPr>
            </a:pPr>
            <a:r>
              <a:rPr lang="en-US" sz="1100">
                <a:ln>
                  <a:solidFill>
                    <a:srgbClr val="0070C0"/>
                  </a:solidFill>
                </a:ln>
                <a:solidFill>
                  <a:srgbClr val="0070C0"/>
                </a:solidFill>
              </a:rPr>
              <a:t>CATEGORY</a:t>
            </a:r>
            <a:r>
              <a:rPr lang="en-US" sz="1100" baseline="0">
                <a:ln>
                  <a:solidFill>
                    <a:srgbClr val="0070C0"/>
                  </a:solidFill>
                </a:ln>
                <a:solidFill>
                  <a:srgbClr val="0070C0"/>
                </a:solidFill>
              </a:rPr>
              <a:t> PROFIT BY YEAR</a:t>
            </a:r>
            <a:endParaRPr lang="en-US" sz="1100">
              <a:ln>
                <a:solidFill>
                  <a:srgbClr val="0070C0"/>
                </a:solidFill>
              </a:ln>
              <a:solidFill>
                <a:srgbClr val="0070C0"/>
              </a:solidFill>
            </a:endParaRPr>
          </a:p>
        </c:rich>
      </c:tx>
      <c:layout>
        <c:manualLayout>
          <c:xMode val="edge"/>
          <c:yMode val="edge"/>
          <c:x val="4.8849079127865694E-2"/>
          <c:y val="3.3967354964743492E-2"/>
        </c:manualLayout>
      </c:layout>
      <c:overlay val="0"/>
      <c:spPr>
        <a:noFill/>
        <a:ln>
          <a:noFill/>
        </a:ln>
        <a:effectLst/>
      </c:spPr>
      <c:txPr>
        <a:bodyPr rot="0" spcFirstLastPara="1" vertOverflow="ellipsis" vert="horz" wrap="square" anchor="ctr" anchorCtr="1"/>
        <a:lstStyle/>
        <a:p>
          <a:pPr>
            <a:defRPr sz="1100" b="0" i="0" u="none" strike="noStrike" kern="1200" spc="0" baseline="0">
              <a:ln>
                <a:solidFill>
                  <a:srgbClr val="0070C0"/>
                </a:solidFill>
              </a:ln>
              <a:solidFill>
                <a:srgbClr val="0070C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66200031410628"/>
          <c:y val="0.19895750645971177"/>
          <c:w val="0.76865563481460941"/>
          <c:h val="0.67657766140662845"/>
        </c:manualLayout>
      </c:layout>
      <c:lineChart>
        <c:grouping val="standard"/>
        <c:varyColors val="0"/>
        <c:ser>
          <c:idx val="0"/>
          <c:order val="0"/>
          <c:tx>
            <c:strRef>
              <c:f>'Pivot Table'!$B$1:$B$2</c:f>
              <c:strCache>
                <c:ptCount val="1"/>
                <c:pt idx="0">
                  <c:v>Electronics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Table'!$A$3:$A$7</c:f>
              <c:strCache>
                <c:ptCount val="4"/>
                <c:pt idx="0">
                  <c:v>2021</c:v>
                </c:pt>
                <c:pt idx="1">
                  <c:v>2022</c:v>
                </c:pt>
                <c:pt idx="2">
                  <c:v>2023</c:v>
                </c:pt>
                <c:pt idx="3">
                  <c:v>2024</c:v>
                </c:pt>
              </c:strCache>
            </c:strRef>
          </c:cat>
          <c:val>
            <c:numRef>
              <c:f>'Pivot Table'!$B$3:$B$7</c:f>
              <c:numCache>
                <c:formatCode>_-[$€-2]\ * #,##0.00_-;\-[$€-2]\ * #,##0.00_-;_-[$€-2]\ * "-"??_-;_-@_-</c:formatCode>
                <c:ptCount val="4"/>
                <c:pt idx="0">
                  <c:v>6372.85</c:v>
                </c:pt>
                <c:pt idx="1">
                  <c:v>1323.15</c:v>
                </c:pt>
                <c:pt idx="2">
                  <c:v>5047.3</c:v>
                </c:pt>
                <c:pt idx="3">
                  <c:v>1088.25</c:v>
                </c:pt>
              </c:numCache>
            </c:numRef>
          </c:val>
          <c:smooth val="0"/>
          <c:extLst>
            <c:ext xmlns:c16="http://schemas.microsoft.com/office/drawing/2014/chart" uri="{C3380CC4-5D6E-409C-BE32-E72D297353CC}">
              <c16:uniqueId val="{00000000-4B39-457F-836E-34EB1AE2CF5C}"/>
            </c:ext>
          </c:extLst>
        </c:ser>
        <c:ser>
          <c:idx val="1"/>
          <c:order val="1"/>
          <c:tx>
            <c:strRef>
              <c:f>'Pivot Table'!$C$1:$C$2</c:f>
              <c:strCache>
                <c:ptCount val="1"/>
                <c:pt idx="0">
                  <c:v>Furniture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Table'!$A$3:$A$7</c:f>
              <c:strCache>
                <c:ptCount val="4"/>
                <c:pt idx="0">
                  <c:v>2021</c:v>
                </c:pt>
                <c:pt idx="1">
                  <c:v>2022</c:v>
                </c:pt>
                <c:pt idx="2">
                  <c:v>2023</c:v>
                </c:pt>
                <c:pt idx="3">
                  <c:v>2024</c:v>
                </c:pt>
              </c:strCache>
            </c:strRef>
          </c:cat>
          <c:val>
            <c:numRef>
              <c:f>'Pivot Table'!$C$3:$C$7</c:f>
              <c:numCache>
                <c:formatCode>_-[$€-2]\ * #,##0.00_-;\-[$€-2]\ * #,##0.00_-;_-[$€-2]\ * "-"??_-;_-@_-</c:formatCode>
                <c:ptCount val="4"/>
                <c:pt idx="0">
                  <c:v>557.65</c:v>
                </c:pt>
                <c:pt idx="1">
                  <c:v>4393.2</c:v>
                </c:pt>
                <c:pt idx="2">
                  <c:v>811.95</c:v>
                </c:pt>
                <c:pt idx="3">
                  <c:v>5142.6000000000004</c:v>
                </c:pt>
              </c:numCache>
            </c:numRef>
          </c:val>
          <c:smooth val="0"/>
          <c:extLst>
            <c:ext xmlns:c16="http://schemas.microsoft.com/office/drawing/2014/chart" uri="{C3380CC4-5D6E-409C-BE32-E72D297353CC}">
              <c16:uniqueId val="{00000014-55B1-4574-8E4F-5A238B8DD602}"/>
            </c:ext>
          </c:extLst>
        </c:ser>
        <c:dLbls>
          <c:showLegendKey val="0"/>
          <c:showVal val="0"/>
          <c:showCatName val="0"/>
          <c:showSerName val="0"/>
          <c:showPercent val="0"/>
          <c:showBubbleSize val="0"/>
        </c:dLbls>
        <c:marker val="1"/>
        <c:smooth val="0"/>
        <c:axId val="2060550623"/>
        <c:axId val="2060543967"/>
      </c:lineChart>
      <c:catAx>
        <c:axId val="206055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43967"/>
        <c:crosses val="autoZero"/>
        <c:auto val="1"/>
        <c:lblAlgn val="ctr"/>
        <c:lblOffset val="100"/>
        <c:noMultiLvlLbl val="0"/>
      </c:catAx>
      <c:valAx>
        <c:axId val="2060543967"/>
        <c:scaling>
          <c:orientation val="minMax"/>
        </c:scaling>
        <c:delete val="0"/>
        <c:axPos val="l"/>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060550623"/>
        <c:crosses val="autoZero"/>
        <c:crossBetween val="between"/>
      </c:valAx>
      <c:spPr>
        <a:noFill/>
        <a:ln>
          <a:noFill/>
        </a:ln>
        <a:effectLst/>
      </c:spPr>
    </c:plotArea>
    <c:legend>
      <c:legendPos val="r"/>
      <c:layout>
        <c:manualLayout>
          <c:xMode val="edge"/>
          <c:yMode val="edge"/>
          <c:x val="0.77910306176066269"/>
          <c:y val="4.976266819753844E-2"/>
          <c:w val="0.21474084292940945"/>
          <c:h val="0.17611559949033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practice.xlsx]Pivot Table!PivotTable3</c:name>
    <c:fmtId val="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0">
                <a:ln>
                  <a:solidFill>
                    <a:srgbClr val="0070C0"/>
                  </a:solidFill>
                </a:ln>
                <a:solidFill>
                  <a:srgbClr val="0070C0"/>
                </a:solidFill>
              </a:rPr>
              <a:t>AVERAGE</a:t>
            </a:r>
            <a:r>
              <a:rPr lang="en-US" sz="1000" b="0" baseline="0">
                <a:ln>
                  <a:solidFill>
                    <a:srgbClr val="0070C0"/>
                  </a:solidFill>
                </a:ln>
                <a:solidFill>
                  <a:srgbClr val="0070C0"/>
                </a:solidFill>
              </a:rPr>
              <a:t> PROFIT MARGIN BY PRODUCT AND DISCOUNT</a:t>
            </a:r>
            <a:endParaRPr lang="en-US" sz="1000" b="0">
              <a:ln>
                <a:solidFill>
                  <a:srgbClr val="0070C0"/>
                </a:solidFill>
              </a:ln>
              <a:solidFill>
                <a:srgbClr val="0070C0"/>
              </a:solidFill>
            </a:endParaRPr>
          </a:p>
        </c:rich>
      </c:tx>
      <c:layout>
        <c:manualLayout>
          <c:xMode val="edge"/>
          <c:yMode val="edge"/>
          <c:x val="2.1541478107455166E-2"/>
          <c:y val="2.02497340695641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6333189515066"/>
          <c:y val="0.16733839714772902"/>
          <c:w val="0.78716928756365512"/>
          <c:h val="0.75798726741109368"/>
        </c:manualLayout>
      </c:layout>
      <c:barChart>
        <c:barDir val="col"/>
        <c:grouping val="stacked"/>
        <c:varyColors val="0"/>
        <c:ser>
          <c:idx val="0"/>
          <c:order val="0"/>
          <c:tx>
            <c:strRef>
              <c:f>'Pivot Table'!$J$1:$J$2</c:f>
              <c:strCache>
                <c:ptCount val="1"/>
                <c:pt idx="0">
                  <c:v>0.05</c:v>
                </c:pt>
              </c:strCache>
            </c:strRef>
          </c:tx>
          <c:spPr>
            <a:solidFill>
              <a:schemeClr val="accent1"/>
            </a:solidFill>
            <a:ln>
              <a:noFill/>
            </a:ln>
            <a:effectLst/>
          </c:spPr>
          <c:invertIfNegative val="0"/>
          <c:cat>
            <c:strRef>
              <c:f>'Pivot Table'!$I$3:$I$23</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Table'!$J$3:$J$23</c:f>
              <c:numCache>
                <c:formatCode>_-[$€-2]\ * #,##0.00_-;\-[$€-2]\ * #,##0.00_-;_-[$€-2]\ * "-"??_-;_-@_-</c:formatCode>
                <c:ptCount val="20"/>
                <c:pt idx="1">
                  <c:v>0.16424430641821947</c:v>
                </c:pt>
                <c:pt idx="2">
                  <c:v>0.16671570771488234</c:v>
                </c:pt>
                <c:pt idx="3">
                  <c:v>0.14795028490028492</c:v>
                </c:pt>
                <c:pt idx="4">
                  <c:v>0.16985994414417843</c:v>
                </c:pt>
                <c:pt idx="6">
                  <c:v>0.1265</c:v>
                </c:pt>
                <c:pt idx="8">
                  <c:v>0.16716666666666666</c:v>
                </c:pt>
                <c:pt idx="11">
                  <c:v>0.11628590796482099</c:v>
                </c:pt>
                <c:pt idx="12">
                  <c:v>0.15027190721649486</c:v>
                </c:pt>
                <c:pt idx="13">
                  <c:v>0.18217861305361305</c:v>
                </c:pt>
                <c:pt idx="14">
                  <c:v>0.13244791666666667</c:v>
                </c:pt>
                <c:pt idx="15">
                  <c:v>0.1451923076923077</c:v>
                </c:pt>
              </c:numCache>
            </c:numRef>
          </c:val>
          <c:extLst>
            <c:ext xmlns:c16="http://schemas.microsoft.com/office/drawing/2014/chart" uri="{C3380CC4-5D6E-409C-BE32-E72D297353CC}">
              <c16:uniqueId val="{00000000-A6E0-4D92-B691-ED993350D244}"/>
            </c:ext>
          </c:extLst>
        </c:ser>
        <c:ser>
          <c:idx val="1"/>
          <c:order val="1"/>
          <c:tx>
            <c:strRef>
              <c:f>'Pivot Table'!$K$1:$K$2</c:f>
              <c:strCache>
                <c:ptCount val="1"/>
                <c:pt idx="0">
                  <c:v>0.08</c:v>
                </c:pt>
              </c:strCache>
            </c:strRef>
          </c:tx>
          <c:spPr>
            <a:solidFill>
              <a:schemeClr val="accent2"/>
            </a:solidFill>
            <a:ln>
              <a:noFill/>
            </a:ln>
            <a:effectLst/>
          </c:spPr>
          <c:invertIfNegative val="0"/>
          <c:cat>
            <c:strRef>
              <c:f>'Pivot Table'!$I$3:$I$23</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Table'!$K$3:$K$23</c:f>
              <c:numCache>
                <c:formatCode>_-[$€-2]\ * #,##0.00_-;\-[$€-2]\ * #,##0.00_-;_-[$€-2]\ * "-"??_-;_-@_-</c:formatCode>
                <c:ptCount val="20"/>
                <c:pt idx="0">
                  <c:v>0.14803174603174604</c:v>
                </c:pt>
                <c:pt idx="2">
                  <c:v>0.15835412605588042</c:v>
                </c:pt>
                <c:pt idx="4">
                  <c:v>0.18023963678281102</c:v>
                </c:pt>
                <c:pt idx="8">
                  <c:v>0.16824</c:v>
                </c:pt>
                <c:pt idx="11">
                  <c:v>0.11891358225108226</c:v>
                </c:pt>
                <c:pt idx="12">
                  <c:v>0.15235294117647061</c:v>
                </c:pt>
                <c:pt idx="13">
                  <c:v>0.1854356113274008</c:v>
                </c:pt>
                <c:pt idx="15">
                  <c:v>0.15416775931775931</c:v>
                </c:pt>
                <c:pt idx="16">
                  <c:v>0.15</c:v>
                </c:pt>
                <c:pt idx="17">
                  <c:v>0.15216339869281048</c:v>
                </c:pt>
              </c:numCache>
            </c:numRef>
          </c:val>
          <c:extLst>
            <c:ext xmlns:c16="http://schemas.microsoft.com/office/drawing/2014/chart" uri="{C3380CC4-5D6E-409C-BE32-E72D297353CC}">
              <c16:uniqueId val="{00000045-D768-4233-9D0E-CC034BE91CE0}"/>
            </c:ext>
          </c:extLst>
        </c:ser>
        <c:ser>
          <c:idx val="2"/>
          <c:order val="2"/>
          <c:tx>
            <c:strRef>
              <c:f>'Pivot Table'!$L$1:$L$2</c:f>
              <c:strCache>
                <c:ptCount val="1"/>
                <c:pt idx="0">
                  <c:v>0.1</c:v>
                </c:pt>
              </c:strCache>
            </c:strRef>
          </c:tx>
          <c:spPr>
            <a:solidFill>
              <a:schemeClr val="accent3"/>
            </a:solidFill>
            <a:ln>
              <a:noFill/>
            </a:ln>
            <a:effectLst/>
          </c:spPr>
          <c:invertIfNegative val="0"/>
          <c:cat>
            <c:strRef>
              <c:f>'Pivot Table'!$I$3:$I$23</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Table'!$L$3:$L$23</c:f>
              <c:numCache>
                <c:formatCode>_-[$€-2]\ * #,##0.00_-;\-[$€-2]\ * #,##0.00_-;_-[$€-2]\ * "-"??_-;_-@_-</c:formatCode>
                <c:ptCount val="20"/>
                <c:pt idx="0">
                  <c:v>0.14742307692307693</c:v>
                </c:pt>
                <c:pt idx="1">
                  <c:v>0.158</c:v>
                </c:pt>
                <c:pt idx="2">
                  <c:v>0.15284920634920635</c:v>
                </c:pt>
                <c:pt idx="3">
                  <c:v>0.1506975280949456</c:v>
                </c:pt>
                <c:pt idx="5">
                  <c:v>0.1789861576324524</c:v>
                </c:pt>
                <c:pt idx="7">
                  <c:v>0.14599222187532115</c:v>
                </c:pt>
                <c:pt idx="8">
                  <c:v>0.16559864953886694</c:v>
                </c:pt>
                <c:pt idx="10">
                  <c:v>0.16274358974358974</c:v>
                </c:pt>
                <c:pt idx="11">
                  <c:v>0.12147368421052632</c:v>
                </c:pt>
                <c:pt idx="12">
                  <c:v>0.1490394736842105</c:v>
                </c:pt>
                <c:pt idx="14">
                  <c:v>0.1413128658878659</c:v>
                </c:pt>
                <c:pt idx="15">
                  <c:v>0.15066666666666667</c:v>
                </c:pt>
                <c:pt idx="16">
                  <c:v>0.1552780610821099</c:v>
                </c:pt>
                <c:pt idx="17">
                  <c:v>0.14799999999999999</c:v>
                </c:pt>
              </c:numCache>
            </c:numRef>
          </c:val>
          <c:extLst>
            <c:ext xmlns:c16="http://schemas.microsoft.com/office/drawing/2014/chart" uri="{C3380CC4-5D6E-409C-BE32-E72D297353CC}">
              <c16:uniqueId val="{00000046-D768-4233-9D0E-CC034BE91CE0}"/>
            </c:ext>
          </c:extLst>
        </c:ser>
        <c:ser>
          <c:idx val="3"/>
          <c:order val="3"/>
          <c:tx>
            <c:strRef>
              <c:f>'Pivot Table'!$M$1:$M$2</c:f>
              <c:strCache>
                <c:ptCount val="1"/>
                <c:pt idx="0">
                  <c:v>0.12</c:v>
                </c:pt>
              </c:strCache>
            </c:strRef>
          </c:tx>
          <c:spPr>
            <a:solidFill>
              <a:schemeClr val="accent4"/>
            </a:solidFill>
            <a:ln>
              <a:noFill/>
            </a:ln>
            <a:effectLst/>
          </c:spPr>
          <c:invertIfNegative val="0"/>
          <c:cat>
            <c:strRef>
              <c:f>'Pivot Table'!$I$3:$I$23</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Table'!$M$3:$M$23</c:f>
              <c:numCache>
                <c:formatCode>_-[$€-2]\ * #,##0.00_-;\-[$€-2]\ * #,##0.00_-;_-[$€-2]\ * "-"??_-;_-@_-</c:formatCode>
                <c:ptCount val="20"/>
                <c:pt idx="0">
                  <c:v>0.15330194207199285</c:v>
                </c:pt>
                <c:pt idx="1">
                  <c:v>0.15686470588235293</c:v>
                </c:pt>
                <c:pt idx="2">
                  <c:v>0.15611111111111112</c:v>
                </c:pt>
                <c:pt idx="4">
                  <c:v>0.15742857142857145</c:v>
                </c:pt>
                <c:pt idx="7">
                  <c:v>0.15931818181818183</c:v>
                </c:pt>
                <c:pt idx="8">
                  <c:v>0.17073626373626372</c:v>
                </c:pt>
                <c:pt idx="9">
                  <c:v>0.20005050505050506</c:v>
                </c:pt>
                <c:pt idx="10">
                  <c:v>0.16759007518173952</c:v>
                </c:pt>
                <c:pt idx="13">
                  <c:v>0.17925416666666666</c:v>
                </c:pt>
                <c:pt idx="15">
                  <c:v>0.15288907753254102</c:v>
                </c:pt>
                <c:pt idx="17">
                  <c:v>0.15</c:v>
                </c:pt>
              </c:numCache>
            </c:numRef>
          </c:val>
          <c:extLst>
            <c:ext xmlns:c16="http://schemas.microsoft.com/office/drawing/2014/chart" uri="{C3380CC4-5D6E-409C-BE32-E72D297353CC}">
              <c16:uniqueId val="{0000004A-D768-4233-9D0E-CC034BE91CE0}"/>
            </c:ext>
          </c:extLst>
        </c:ser>
        <c:ser>
          <c:idx val="4"/>
          <c:order val="4"/>
          <c:tx>
            <c:strRef>
              <c:f>'Pivot Table'!$N$1:$N$2</c:f>
              <c:strCache>
                <c:ptCount val="1"/>
                <c:pt idx="0">
                  <c:v>0.15</c:v>
                </c:pt>
              </c:strCache>
            </c:strRef>
          </c:tx>
          <c:spPr>
            <a:solidFill>
              <a:schemeClr val="accent5"/>
            </a:solidFill>
            <a:ln>
              <a:noFill/>
            </a:ln>
            <a:effectLst/>
          </c:spPr>
          <c:invertIfNegative val="0"/>
          <c:cat>
            <c:strRef>
              <c:f>'Pivot Table'!$I$3:$I$23</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Table'!$N$3:$N$23</c:f>
              <c:numCache>
                <c:formatCode>_-[$€-2]\ * #,##0.00_-;\-[$€-2]\ * #,##0.00_-;_-[$€-2]\ * "-"??_-;_-@_-</c:formatCode>
                <c:ptCount val="20"/>
                <c:pt idx="0">
                  <c:v>0.15323529411764705</c:v>
                </c:pt>
                <c:pt idx="1">
                  <c:v>0.1647194094794095</c:v>
                </c:pt>
                <c:pt idx="4">
                  <c:v>0.17134146341463416</c:v>
                </c:pt>
                <c:pt idx="7">
                  <c:v>0.1537240338164251</c:v>
                </c:pt>
                <c:pt idx="8">
                  <c:v>0.17288323651794174</c:v>
                </c:pt>
                <c:pt idx="9">
                  <c:v>0.20267346938775516</c:v>
                </c:pt>
                <c:pt idx="10">
                  <c:v>0.15601884920634923</c:v>
                </c:pt>
                <c:pt idx="11">
                  <c:v>0.12305555555555556</c:v>
                </c:pt>
                <c:pt idx="14">
                  <c:v>0.13449465240641711</c:v>
                </c:pt>
                <c:pt idx="16">
                  <c:v>0.1515467320261438</c:v>
                </c:pt>
                <c:pt idx="18">
                  <c:v>0.15062500000000001</c:v>
                </c:pt>
              </c:numCache>
            </c:numRef>
          </c:val>
          <c:extLst>
            <c:ext xmlns:c16="http://schemas.microsoft.com/office/drawing/2014/chart" uri="{C3380CC4-5D6E-409C-BE32-E72D297353CC}">
              <c16:uniqueId val="{0000004B-D768-4233-9D0E-CC034BE91CE0}"/>
            </c:ext>
          </c:extLst>
        </c:ser>
        <c:ser>
          <c:idx val="5"/>
          <c:order val="5"/>
          <c:tx>
            <c:strRef>
              <c:f>'Pivot Table'!$O$1:$O$2</c:f>
              <c:strCache>
                <c:ptCount val="1"/>
                <c:pt idx="0">
                  <c:v>0.2</c:v>
                </c:pt>
              </c:strCache>
            </c:strRef>
          </c:tx>
          <c:spPr>
            <a:solidFill>
              <a:schemeClr val="accent6"/>
            </a:solidFill>
            <a:ln>
              <a:noFill/>
            </a:ln>
            <a:effectLst/>
          </c:spPr>
          <c:invertIfNegative val="0"/>
          <c:cat>
            <c:strRef>
              <c:f>'Pivot Table'!$I$3:$I$23</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Table'!$O$3:$O$23</c:f>
              <c:numCache>
                <c:formatCode>_-[$€-2]\ * #,##0.00_-;\-[$€-2]\ * #,##0.00_-;_-[$€-2]\ * "-"??_-;_-@_-</c:formatCode>
                <c:ptCount val="20"/>
                <c:pt idx="4">
                  <c:v>0.151</c:v>
                </c:pt>
                <c:pt idx="6">
                  <c:v>0.16733256981022074</c:v>
                </c:pt>
                <c:pt idx="9">
                  <c:v>0.15883333333333333</c:v>
                </c:pt>
                <c:pt idx="19">
                  <c:v>0.20133333333333334</c:v>
                </c:pt>
              </c:numCache>
            </c:numRef>
          </c:val>
          <c:extLst>
            <c:ext xmlns:c16="http://schemas.microsoft.com/office/drawing/2014/chart" uri="{C3380CC4-5D6E-409C-BE32-E72D297353CC}">
              <c16:uniqueId val="{0000004C-D768-4233-9D0E-CC034BE91CE0}"/>
            </c:ext>
          </c:extLst>
        </c:ser>
        <c:dLbls>
          <c:showLegendKey val="0"/>
          <c:showVal val="0"/>
          <c:showCatName val="0"/>
          <c:showSerName val="0"/>
          <c:showPercent val="0"/>
          <c:showBubbleSize val="0"/>
        </c:dLbls>
        <c:gapWidth val="150"/>
        <c:overlap val="100"/>
        <c:axId val="2060558943"/>
        <c:axId val="2060553119"/>
      </c:barChart>
      <c:catAx>
        <c:axId val="2060558943"/>
        <c:scaling>
          <c:orientation val="minMax"/>
        </c:scaling>
        <c:delete val="1"/>
        <c:axPos val="b"/>
        <c:numFmt formatCode="General" sourceLinked="1"/>
        <c:majorTickMark val="none"/>
        <c:minorTickMark val="none"/>
        <c:tickLblPos val="nextTo"/>
        <c:crossAx val="2060553119"/>
        <c:crosses val="autoZero"/>
        <c:auto val="1"/>
        <c:lblAlgn val="ctr"/>
        <c:lblOffset val="100"/>
        <c:noMultiLvlLbl val="0"/>
      </c:catAx>
      <c:valAx>
        <c:axId val="2060553119"/>
        <c:scaling>
          <c:orientation val="minMax"/>
        </c:scaling>
        <c:delete val="0"/>
        <c:axPos val="l"/>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8943"/>
        <c:crosses val="autoZero"/>
        <c:crossBetween val="between"/>
      </c:valAx>
      <c:spPr>
        <a:noFill/>
        <a:ln>
          <a:noFill/>
        </a:ln>
        <a:effectLst/>
      </c:spPr>
    </c:plotArea>
    <c:legend>
      <c:legendPos val="r"/>
      <c:layout>
        <c:manualLayout>
          <c:xMode val="edge"/>
          <c:yMode val="edge"/>
          <c:x val="0.91088680283760926"/>
          <c:y val="2.7504935676304892E-2"/>
          <c:w val="7.8358579202778333E-2"/>
          <c:h val="0.66215645604140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practice.xlsx]Pivot Table!PivotTable8</c:name>
    <c:fmtId val="1"/>
  </c:pivotSource>
  <c:chart>
    <c:title>
      <c:tx>
        <c:rich>
          <a:bodyPr rot="0" spcFirstLastPara="1" vertOverflow="ellipsis" vert="horz" wrap="square" anchor="t" anchorCtr="0"/>
          <a:lstStyle/>
          <a:p>
            <a:pPr>
              <a:defRPr sz="1000" b="0" i="0" u="none" strike="noStrike" kern="1200" spc="0" baseline="0">
                <a:ln>
                  <a:solidFill>
                    <a:srgbClr val="0070C0"/>
                  </a:solidFill>
                </a:ln>
                <a:solidFill>
                  <a:srgbClr val="0070C0"/>
                </a:solidFill>
                <a:latin typeface="+mn-lt"/>
                <a:ea typeface="+mn-ea"/>
                <a:cs typeface="+mn-cs"/>
              </a:defRPr>
            </a:pPr>
            <a:r>
              <a:rPr lang="en-US" sz="1000">
                <a:ln>
                  <a:solidFill>
                    <a:srgbClr val="0070C0"/>
                  </a:solidFill>
                </a:ln>
                <a:solidFill>
                  <a:srgbClr val="0070C0"/>
                </a:solidFill>
              </a:rPr>
              <a:t>CUSTOMERS WITH MULTIPLE PRODUCT PURCHACED</a:t>
            </a:r>
            <a:r>
              <a:rPr lang="en-US" sz="1000" baseline="0">
                <a:ln>
                  <a:solidFill>
                    <a:srgbClr val="0070C0"/>
                  </a:solidFill>
                </a:ln>
                <a:solidFill>
                  <a:srgbClr val="0070C0"/>
                </a:solidFill>
              </a:rPr>
              <a:t> AND PROFIT</a:t>
            </a:r>
            <a:endParaRPr lang="en-US" sz="1000">
              <a:ln>
                <a:solidFill>
                  <a:srgbClr val="0070C0"/>
                </a:solidFill>
              </a:ln>
              <a:solidFill>
                <a:srgbClr val="0070C0"/>
              </a:solidFill>
            </a:endParaRPr>
          </a:p>
        </c:rich>
      </c:tx>
      <c:layout>
        <c:manualLayout>
          <c:xMode val="edge"/>
          <c:yMode val="edge"/>
          <c:x val="2.3767353881198355E-2"/>
          <c:y val="4.7895572841982578E-2"/>
        </c:manualLayout>
      </c:layout>
      <c:overlay val="0"/>
      <c:spPr>
        <a:noFill/>
        <a:ln>
          <a:noFill/>
        </a:ln>
        <a:effectLst/>
      </c:spPr>
      <c:txPr>
        <a:bodyPr rot="0" spcFirstLastPara="1" vertOverflow="ellipsis" vert="horz" wrap="square" anchor="t" anchorCtr="0"/>
        <a:lstStyle/>
        <a:p>
          <a:pPr>
            <a:defRPr sz="1000" b="0" i="0" u="none" strike="noStrike" kern="1200" spc="0" baseline="0">
              <a:ln>
                <a:solidFill>
                  <a:srgbClr val="0070C0"/>
                </a:solidFill>
              </a:ln>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24647175189303"/>
          <c:y val="0.22089828570564429"/>
          <c:w val="0.78666283216800759"/>
          <c:h val="0.73108786210896926"/>
        </c:manualLayout>
      </c:layout>
      <c:barChart>
        <c:barDir val="col"/>
        <c:grouping val="stacked"/>
        <c:varyColors val="0"/>
        <c:ser>
          <c:idx val="0"/>
          <c:order val="0"/>
          <c:tx>
            <c:strRef>
              <c:f>'Pivot Table'!$L$36:$L$37</c:f>
              <c:strCache>
                <c:ptCount val="1"/>
                <c:pt idx="0">
                  <c:v>Electronics</c:v>
                </c:pt>
              </c:strCache>
            </c:strRef>
          </c:tx>
          <c:spPr>
            <a:solidFill>
              <a:schemeClr val="accent1"/>
            </a:solidFill>
            <a:ln>
              <a:noFill/>
            </a:ln>
            <a:effectLst/>
          </c:spPr>
          <c:invertIfNegative val="0"/>
          <c:cat>
            <c:strRef>
              <c:f>'Pivot Table'!$K$38:$K$48</c:f>
              <c:strCache>
                <c:ptCount val="10"/>
                <c:pt idx="0">
                  <c:v>Theo Dunn</c:v>
                </c:pt>
                <c:pt idx="1">
                  <c:v>Arlo Dean</c:v>
                </c:pt>
                <c:pt idx="2">
                  <c:v>Atlas Cruz</c:v>
                </c:pt>
                <c:pt idx="3">
                  <c:v>Reid Burke</c:v>
                </c:pt>
                <c:pt idx="4">
                  <c:v>Lila Hart</c:v>
                </c:pt>
                <c:pt idx="5">
                  <c:v>Emmett Reid</c:v>
                </c:pt>
                <c:pt idx="6">
                  <c:v>Lyric James</c:v>
                </c:pt>
                <c:pt idx="7">
                  <c:v>Lyra Wells</c:v>
                </c:pt>
                <c:pt idx="8">
                  <c:v>Rory Hunt</c:v>
                </c:pt>
                <c:pt idx="9">
                  <c:v>Knox Perry</c:v>
                </c:pt>
              </c:strCache>
            </c:strRef>
          </c:cat>
          <c:val>
            <c:numRef>
              <c:f>'Pivot Table'!$L$38:$L$48</c:f>
              <c:numCache>
                <c:formatCode>_-[$€-2]\ * #,##0_-;\-[$€-2]\ * #,##0_-;_-[$€-2]\ * "-"??_-;_-@_-</c:formatCode>
                <c:ptCount val="10"/>
                <c:pt idx="0">
                  <c:v>7200</c:v>
                </c:pt>
                <c:pt idx="1">
                  <c:v>5400</c:v>
                </c:pt>
                <c:pt idx="2">
                  <c:v>4820</c:v>
                </c:pt>
                <c:pt idx="3">
                  <c:v>4780</c:v>
                </c:pt>
                <c:pt idx="5">
                  <c:v>4530</c:v>
                </c:pt>
                <c:pt idx="8">
                  <c:v>4180</c:v>
                </c:pt>
                <c:pt idx="9">
                  <c:v>4160</c:v>
                </c:pt>
              </c:numCache>
            </c:numRef>
          </c:val>
          <c:extLst>
            <c:ext xmlns:c16="http://schemas.microsoft.com/office/drawing/2014/chart" uri="{C3380CC4-5D6E-409C-BE32-E72D297353CC}">
              <c16:uniqueId val="{00000000-09B7-4CCD-98AE-483EFE144920}"/>
            </c:ext>
          </c:extLst>
        </c:ser>
        <c:ser>
          <c:idx val="1"/>
          <c:order val="1"/>
          <c:tx>
            <c:strRef>
              <c:f>'Pivot Table'!$M$36:$M$37</c:f>
              <c:strCache>
                <c:ptCount val="1"/>
                <c:pt idx="0">
                  <c:v>Furniture</c:v>
                </c:pt>
              </c:strCache>
            </c:strRef>
          </c:tx>
          <c:spPr>
            <a:solidFill>
              <a:schemeClr val="accent2"/>
            </a:solidFill>
            <a:ln>
              <a:noFill/>
            </a:ln>
            <a:effectLst/>
          </c:spPr>
          <c:invertIfNegative val="0"/>
          <c:cat>
            <c:strRef>
              <c:f>'Pivot Table'!$K$38:$K$48</c:f>
              <c:strCache>
                <c:ptCount val="10"/>
                <c:pt idx="0">
                  <c:v>Theo Dunn</c:v>
                </c:pt>
                <c:pt idx="1">
                  <c:v>Arlo Dean</c:v>
                </c:pt>
                <c:pt idx="2">
                  <c:v>Atlas Cruz</c:v>
                </c:pt>
                <c:pt idx="3">
                  <c:v>Reid Burke</c:v>
                </c:pt>
                <c:pt idx="4">
                  <c:v>Lila Hart</c:v>
                </c:pt>
                <c:pt idx="5">
                  <c:v>Emmett Reid</c:v>
                </c:pt>
                <c:pt idx="6">
                  <c:v>Lyric James</c:v>
                </c:pt>
                <c:pt idx="7">
                  <c:v>Lyra Wells</c:v>
                </c:pt>
                <c:pt idx="8">
                  <c:v>Rory Hunt</c:v>
                </c:pt>
                <c:pt idx="9">
                  <c:v>Knox Perry</c:v>
                </c:pt>
              </c:strCache>
            </c:strRef>
          </c:cat>
          <c:val>
            <c:numRef>
              <c:f>'Pivot Table'!$M$38:$M$48</c:f>
              <c:numCache>
                <c:formatCode>_-[$€-2]\ * #,##0_-;\-[$€-2]\ * #,##0_-;_-[$€-2]\ * "-"??_-;_-@_-</c:formatCode>
                <c:ptCount val="10"/>
                <c:pt idx="4">
                  <c:v>4570</c:v>
                </c:pt>
                <c:pt idx="6">
                  <c:v>4250</c:v>
                </c:pt>
                <c:pt idx="7">
                  <c:v>4220</c:v>
                </c:pt>
              </c:numCache>
            </c:numRef>
          </c:val>
          <c:extLst>
            <c:ext xmlns:c16="http://schemas.microsoft.com/office/drawing/2014/chart" uri="{C3380CC4-5D6E-409C-BE32-E72D297353CC}">
              <c16:uniqueId val="{0000000A-A3C1-4875-A7E0-0C028CFCF0BD}"/>
            </c:ext>
          </c:extLst>
        </c:ser>
        <c:dLbls>
          <c:showLegendKey val="0"/>
          <c:showVal val="0"/>
          <c:showCatName val="0"/>
          <c:showSerName val="0"/>
          <c:showPercent val="0"/>
          <c:showBubbleSize val="0"/>
        </c:dLbls>
        <c:gapWidth val="150"/>
        <c:overlap val="100"/>
        <c:axId val="450596015"/>
        <c:axId val="450612239"/>
      </c:barChart>
      <c:catAx>
        <c:axId val="450596015"/>
        <c:scaling>
          <c:orientation val="minMax"/>
        </c:scaling>
        <c:delete val="1"/>
        <c:axPos val="b"/>
        <c:numFmt formatCode="General" sourceLinked="1"/>
        <c:majorTickMark val="none"/>
        <c:minorTickMark val="none"/>
        <c:tickLblPos val="nextTo"/>
        <c:crossAx val="450612239"/>
        <c:crosses val="autoZero"/>
        <c:auto val="1"/>
        <c:lblAlgn val="ctr"/>
        <c:lblOffset val="100"/>
        <c:noMultiLvlLbl val="0"/>
      </c:catAx>
      <c:valAx>
        <c:axId val="450612239"/>
        <c:scaling>
          <c:orientation val="minMax"/>
        </c:scaling>
        <c:delete val="0"/>
        <c:axPos val="l"/>
        <c:numFmt formatCode="_-[$€-2]\ * #,##0_-;\-[$€-2]\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596015"/>
        <c:crosses val="autoZero"/>
        <c:crossBetween val="between"/>
      </c:valAx>
      <c:spPr>
        <a:noFill/>
        <a:ln>
          <a:noFill/>
        </a:ln>
        <a:effectLst/>
      </c:spPr>
    </c:plotArea>
    <c:legend>
      <c:legendPos val="r"/>
      <c:layout>
        <c:manualLayout>
          <c:xMode val="edge"/>
          <c:yMode val="edge"/>
          <c:x val="0.82722451476183156"/>
          <c:y val="1.7991422317205772E-2"/>
          <c:w val="0.16087197692730879"/>
          <c:h val="0.22292758759322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practice.xlsx]Pivot Table!PivotTable4</c:name>
    <c:fmtId val="2"/>
  </c:pivotSource>
  <c:chart>
    <c:title>
      <c:tx>
        <c:rich>
          <a:bodyPr rot="0" spcFirstLastPara="1" vertOverflow="ellipsis" vert="horz" wrap="square" anchor="ctr" anchorCtr="1"/>
          <a:lstStyle/>
          <a:p>
            <a:pPr>
              <a:defRPr sz="1100" b="0" i="0" u="none" strike="noStrike" kern="1200" spc="0" baseline="0">
                <a:ln>
                  <a:solidFill>
                    <a:srgbClr val="0070C0"/>
                  </a:solidFill>
                </a:ln>
                <a:solidFill>
                  <a:schemeClr val="tx1">
                    <a:lumMod val="65000"/>
                    <a:lumOff val="35000"/>
                  </a:schemeClr>
                </a:solidFill>
                <a:latin typeface="+mn-lt"/>
                <a:ea typeface="+mn-ea"/>
                <a:cs typeface="+mn-cs"/>
              </a:defRPr>
            </a:pPr>
            <a:r>
              <a:rPr lang="en-US" sz="1100">
                <a:ln>
                  <a:solidFill>
                    <a:srgbClr val="0070C0"/>
                  </a:solidFill>
                </a:ln>
                <a:solidFill>
                  <a:srgbClr val="0070C0"/>
                </a:solidFill>
              </a:rPr>
              <a:t>PRODUCT</a:t>
            </a:r>
            <a:r>
              <a:rPr lang="en-US" sz="1100" baseline="0">
                <a:ln>
                  <a:solidFill>
                    <a:srgbClr val="0070C0"/>
                  </a:solidFill>
                </a:ln>
                <a:solidFill>
                  <a:srgbClr val="0070C0"/>
                </a:solidFill>
              </a:rPr>
              <a:t> BY PROFIT AND QUANTITY</a:t>
            </a:r>
            <a:endParaRPr lang="en-US" sz="1100">
              <a:ln>
                <a:solidFill>
                  <a:srgbClr val="0070C0"/>
                </a:solidFill>
              </a:ln>
              <a:solidFill>
                <a:srgbClr val="0070C0"/>
              </a:solidFill>
            </a:endParaRPr>
          </a:p>
        </c:rich>
      </c:tx>
      <c:layout>
        <c:manualLayout>
          <c:xMode val="edge"/>
          <c:yMode val="edge"/>
          <c:x val="0.39555239796021796"/>
          <c:y val="0"/>
        </c:manualLayout>
      </c:layout>
      <c:overlay val="0"/>
      <c:spPr>
        <a:noFill/>
        <a:ln>
          <a:noFill/>
        </a:ln>
        <a:effectLst/>
      </c:spPr>
      <c:txPr>
        <a:bodyPr rot="0" spcFirstLastPara="1" vertOverflow="ellipsis" vert="horz" wrap="square" anchor="ctr" anchorCtr="1"/>
        <a:lstStyle/>
        <a:p>
          <a:pPr>
            <a:defRPr sz="1100" b="0" i="0" u="none" strike="noStrike" kern="1200" spc="0" baseline="0">
              <a:ln>
                <a:solidFill>
                  <a:srgbClr val="0070C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11868279725795"/>
          <c:y val="7.9340155365136514E-2"/>
          <c:w val="0.45696613100845085"/>
          <c:h val="0.86552767454194102"/>
        </c:manualLayout>
      </c:layout>
      <c:barChart>
        <c:barDir val="bar"/>
        <c:grouping val="clustered"/>
        <c:varyColors val="0"/>
        <c:ser>
          <c:idx val="0"/>
          <c:order val="0"/>
          <c:tx>
            <c:strRef>
              <c:f>'Pivot Table'!$B$55</c:f>
              <c:strCache>
                <c:ptCount val="1"/>
                <c:pt idx="0">
                  <c:v>Sum of quantity</c:v>
                </c:pt>
              </c:strCache>
            </c:strRef>
          </c:tx>
          <c:spPr>
            <a:solidFill>
              <a:schemeClr val="accent1"/>
            </a:solidFill>
            <a:ln>
              <a:noFill/>
            </a:ln>
            <a:effectLst/>
          </c:spPr>
          <c:invertIfNegative val="0"/>
          <c:cat>
            <c:strRef>
              <c:f>'Pivot Table'!$A$56:$A$76</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Table'!$B$56:$B$76</c:f>
              <c:numCache>
                <c:formatCode>General</c:formatCode>
                <c:ptCount val="20"/>
                <c:pt idx="0">
                  <c:v>39</c:v>
                </c:pt>
                <c:pt idx="1">
                  <c:v>20</c:v>
                </c:pt>
                <c:pt idx="2">
                  <c:v>44</c:v>
                </c:pt>
                <c:pt idx="3">
                  <c:v>35</c:v>
                </c:pt>
                <c:pt idx="4">
                  <c:v>98</c:v>
                </c:pt>
                <c:pt idx="5">
                  <c:v>110</c:v>
                </c:pt>
                <c:pt idx="6">
                  <c:v>56</c:v>
                </c:pt>
                <c:pt idx="7">
                  <c:v>25</c:v>
                </c:pt>
                <c:pt idx="8">
                  <c:v>32</c:v>
                </c:pt>
                <c:pt idx="9">
                  <c:v>135</c:v>
                </c:pt>
                <c:pt idx="10">
                  <c:v>45</c:v>
                </c:pt>
                <c:pt idx="11">
                  <c:v>40</c:v>
                </c:pt>
                <c:pt idx="12">
                  <c:v>25</c:v>
                </c:pt>
                <c:pt idx="13">
                  <c:v>72</c:v>
                </c:pt>
                <c:pt idx="14">
                  <c:v>10</c:v>
                </c:pt>
                <c:pt idx="15">
                  <c:v>77</c:v>
                </c:pt>
                <c:pt idx="16">
                  <c:v>23</c:v>
                </c:pt>
                <c:pt idx="17">
                  <c:v>24</c:v>
                </c:pt>
                <c:pt idx="18">
                  <c:v>5</c:v>
                </c:pt>
                <c:pt idx="19">
                  <c:v>12</c:v>
                </c:pt>
              </c:numCache>
            </c:numRef>
          </c:val>
          <c:extLst>
            <c:ext xmlns:c16="http://schemas.microsoft.com/office/drawing/2014/chart" uri="{C3380CC4-5D6E-409C-BE32-E72D297353CC}">
              <c16:uniqueId val="{00000000-B9F5-46C7-946C-A965B29E7403}"/>
            </c:ext>
          </c:extLst>
        </c:ser>
        <c:ser>
          <c:idx val="1"/>
          <c:order val="1"/>
          <c:tx>
            <c:strRef>
              <c:f>'Pivot Table'!$C$55</c:f>
              <c:strCache>
                <c:ptCount val="1"/>
                <c:pt idx="0">
                  <c:v>Sum of profit</c:v>
                </c:pt>
              </c:strCache>
            </c:strRef>
          </c:tx>
          <c:spPr>
            <a:solidFill>
              <a:schemeClr val="accent2"/>
            </a:solidFill>
            <a:ln>
              <a:noFill/>
            </a:ln>
            <a:effectLst/>
          </c:spPr>
          <c:invertIfNegative val="0"/>
          <c:cat>
            <c:strRef>
              <c:f>'Pivot Table'!$A$56:$A$76</c:f>
              <c:strCache>
                <c:ptCount val="20"/>
                <c:pt idx="0">
                  <c:v>Bookshelf</c:v>
                </c:pt>
                <c:pt idx="1">
                  <c:v>Cabinet</c:v>
                </c:pt>
                <c:pt idx="2">
                  <c:v>Chair</c:v>
                </c:pt>
                <c:pt idx="3">
                  <c:v>Desk</c:v>
                </c:pt>
                <c:pt idx="4">
                  <c:v>Headphones</c:v>
                </c:pt>
                <c:pt idx="5">
                  <c:v>Keyboard</c:v>
                </c:pt>
                <c:pt idx="6">
                  <c:v>Lamp</c:v>
                </c:pt>
                <c:pt idx="7">
                  <c:v>Laptop</c:v>
                </c:pt>
                <c:pt idx="8">
                  <c:v>Monitor</c:v>
                </c:pt>
                <c:pt idx="9">
                  <c:v>Mouse Pad</c:v>
                </c:pt>
                <c:pt idx="10">
                  <c:v>Office Chair</c:v>
                </c:pt>
                <c:pt idx="11">
                  <c:v>Printer</c:v>
                </c:pt>
                <c:pt idx="12">
                  <c:v>Smartphone</c:v>
                </c:pt>
                <c:pt idx="13">
                  <c:v>Smartwatch</c:v>
                </c:pt>
                <c:pt idx="14">
                  <c:v>Sofa</c:v>
                </c:pt>
                <c:pt idx="15">
                  <c:v>Speaker</c:v>
                </c:pt>
                <c:pt idx="16">
                  <c:v>Table</c:v>
                </c:pt>
                <c:pt idx="17">
                  <c:v>Tablet</c:v>
                </c:pt>
                <c:pt idx="18">
                  <c:v>Webcam</c:v>
                </c:pt>
                <c:pt idx="19">
                  <c:v>Wireless Mouse</c:v>
                </c:pt>
              </c:strCache>
            </c:strRef>
          </c:cat>
          <c:val>
            <c:numRef>
              <c:f>'Pivot Table'!$C$56:$C$76</c:f>
              <c:numCache>
                <c:formatCode>_-[$€-2]\ * #,##0.00_-;\-[$€-2]\ * #,##0.00_-;_-[$€-2]\ * "-"??_-;_-@_-</c:formatCode>
                <c:ptCount val="20"/>
                <c:pt idx="0">
                  <c:v>1565.2</c:v>
                </c:pt>
                <c:pt idx="1">
                  <c:v>1752.95</c:v>
                </c:pt>
                <c:pt idx="2">
                  <c:v>839.35</c:v>
                </c:pt>
                <c:pt idx="3">
                  <c:v>1290.5999999999999</c:v>
                </c:pt>
                <c:pt idx="4">
                  <c:v>872.45</c:v>
                </c:pt>
                <c:pt idx="5">
                  <c:v>715.55</c:v>
                </c:pt>
                <c:pt idx="6">
                  <c:v>553</c:v>
                </c:pt>
                <c:pt idx="7">
                  <c:v>4703.25</c:v>
                </c:pt>
                <c:pt idx="8">
                  <c:v>2455.1999999999998</c:v>
                </c:pt>
                <c:pt idx="9">
                  <c:v>440.75</c:v>
                </c:pt>
                <c:pt idx="10">
                  <c:v>978.45</c:v>
                </c:pt>
                <c:pt idx="11">
                  <c:v>1330</c:v>
                </c:pt>
                <c:pt idx="12">
                  <c:v>742.15</c:v>
                </c:pt>
                <c:pt idx="13">
                  <c:v>903.7</c:v>
                </c:pt>
                <c:pt idx="14">
                  <c:v>2452.25</c:v>
                </c:pt>
                <c:pt idx="15">
                  <c:v>1051.25</c:v>
                </c:pt>
                <c:pt idx="16">
                  <c:v>1473.6</c:v>
                </c:pt>
                <c:pt idx="17">
                  <c:v>526.79999999999995</c:v>
                </c:pt>
                <c:pt idx="18">
                  <c:v>60.25</c:v>
                </c:pt>
                <c:pt idx="19">
                  <c:v>30.2</c:v>
                </c:pt>
              </c:numCache>
            </c:numRef>
          </c:val>
          <c:extLst>
            <c:ext xmlns:c16="http://schemas.microsoft.com/office/drawing/2014/chart" uri="{C3380CC4-5D6E-409C-BE32-E72D297353CC}">
              <c16:uniqueId val="{00000001-B9F5-46C7-946C-A965B29E7403}"/>
            </c:ext>
          </c:extLst>
        </c:ser>
        <c:dLbls>
          <c:showLegendKey val="0"/>
          <c:showVal val="0"/>
          <c:showCatName val="0"/>
          <c:showSerName val="0"/>
          <c:showPercent val="0"/>
          <c:showBubbleSize val="0"/>
        </c:dLbls>
        <c:gapWidth val="182"/>
        <c:axId val="450650927"/>
        <c:axId val="450645519"/>
      </c:barChart>
      <c:catAx>
        <c:axId val="45065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45519"/>
        <c:crosses val="autoZero"/>
        <c:auto val="1"/>
        <c:lblAlgn val="ctr"/>
        <c:lblOffset val="100"/>
        <c:noMultiLvlLbl val="0"/>
      </c:catAx>
      <c:valAx>
        <c:axId val="4506455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50927"/>
        <c:crosses val="autoZero"/>
        <c:crossBetween val="between"/>
      </c:valAx>
      <c:spPr>
        <a:noFill/>
        <a:ln>
          <a:noFill/>
        </a:ln>
        <a:effectLst/>
      </c:spPr>
    </c:plotArea>
    <c:legend>
      <c:legendPos val="r"/>
      <c:layout>
        <c:manualLayout>
          <c:xMode val="edge"/>
          <c:yMode val="edge"/>
          <c:x val="0.70863964772539489"/>
          <c:y val="0.71889477735478791"/>
          <c:w val="0.2797792126843735"/>
          <c:h val="0.15967699657205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practice.xlsx]Pivot Table!PivotTable5</c:name>
    <c:fmtId val="1"/>
  </c:pivotSource>
  <c:chart>
    <c:title>
      <c:tx>
        <c:rich>
          <a:bodyPr rot="0" spcFirstLastPara="1" vertOverflow="ellipsis" vert="horz" wrap="square" anchor="ctr" anchorCtr="1"/>
          <a:lstStyle/>
          <a:p>
            <a:pPr>
              <a:defRPr sz="1400" b="0" i="0" u="none" strike="noStrike" kern="1200" spc="0" baseline="0">
                <a:ln>
                  <a:solidFill>
                    <a:schemeClr val="accent1">
                      <a:shade val="50000"/>
                    </a:schemeClr>
                  </a:solidFill>
                </a:ln>
                <a:solidFill>
                  <a:srgbClr val="0070C0"/>
                </a:solidFill>
                <a:latin typeface="+mn-lt"/>
                <a:ea typeface="+mn-ea"/>
                <a:cs typeface="+mn-cs"/>
              </a:defRPr>
            </a:pPr>
            <a:r>
              <a:rPr lang="en-US" sz="1100">
                <a:ln>
                  <a:solidFill>
                    <a:schemeClr val="accent1">
                      <a:shade val="50000"/>
                    </a:schemeClr>
                  </a:solidFill>
                </a:ln>
                <a:solidFill>
                  <a:srgbClr val="0070C0"/>
                </a:solidFill>
              </a:rPr>
              <a:t>PRODUCT</a:t>
            </a:r>
            <a:r>
              <a:rPr lang="en-US" sz="1100" baseline="0">
                <a:ln>
                  <a:solidFill>
                    <a:schemeClr val="accent1">
                      <a:shade val="50000"/>
                    </a:schemeClr>
                  </a:solidFill>
                </a:ln>
                <a:solidFill>
                  <a:srgbClr val="0070C0"/>
                </a:solidFill>
              </a:rPr>
              <a:t> BY REVENUE</a:t>
            </a:r>
            <a:endParaRPr lang="en-US" sz="1100">
              <a:ln>
                <a:solidFill>
                  <a:schemeClr val="accent1">
                    <a:shade val="50000"/>
                  </a:schemeClr>
                </a:solidFill>
              </a:ln>
              <a:solidFill>
                <a:srgbClr val="0070C0"/>
              </a:solidFill>
            </a:endParaRPr>
          </a:p>
        </c:rich>
      </c:tx>
      <c:layout>
        <c:manualLayout>
          <c:xMode val="edge"/>
          <c:yMode val="edge"/>
          <c:x val="0.15858985154619484"/>
          <c:y val="2.5494725653164331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50000"/>
                  </a:schemeClr>
                </a:solidFill>
              </a:ln>
              <a:solidFill>
                <a:srgbClr val="0070C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732730236899"/>
          <c:y val="0.14807667890045464"/>
          <c:w val="0.78675438204358827"/>
          <c:h val="0.74006420856693045"/>
        </c:manualLayout>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Table'!$A$18:$A$38</c:f>
              <c:strCache>
                <c:ptCount val="20"/>
                <c:pt idx="0">
                  <c:v>Chair</c:v>
                </c:pt>
                <c:pt idx="1">
                  <c:v>Desk</c:v>
                </c:pt>
                <c:pt idx="2">
                  <c:v>Lamp</c:v>
                </c:pt>
                <c:pt idx="3">
                  <c:v>Office Chair</c:v>
                </c:pt>
                <c:pt idx="4">
                  <c:v>Sofa</c:v>
                </c:pt>
                <c:pt idx="5">
                  <c:v>Bookshelf</c:v>
                </c:pt>
                <c:pt idx="6">
                  <c:v>Cabinet</c:v>
                </c:pt>
                <c:pt idx="7">
                  <c:v>Table</c:v>
                </c:pt>
                <c:pt idx="8">
                  <c:v>Headphones</c:v>
                </c:pt>
                <c:pt idx="9">
                  <c:v>Keyboard</c:v>
                </c:pt>
                <c:pt idx="10">
                  <c:v>Laptop</c:v>
                </c:pt>
                <c:pt idx="11">
                  <c:v>Monitor</c:v>
                </c:pt>
                <c:pt idx="12">
                  <c:v>Mouse Pad</c:v>
                </c:pt>
                <c:pt idx="13">
                  <c:v>Printer</c:v>
                </c:pt>
                <c:pt idx="14">
                  <c:v>Smartphone</c:v>
                </c:pt>
                <c:pt idx="15">
                  <c:v>Smartwatch</c:v>
                </c:pt>
                <c:pt idx="16">
                  <c:v>Speaker</c:v>
                </c:pt>
                <c:pt idx="17">
                  <c:v>Tablet</c:v>
                </c:pt>
                <c:pt idx="18">
                  <c:v>Webcam</c:v>
                </c:pt>
                <c:pt idx="19">
                  <c:v>Wireless Mouse</c:v>
                </c:pt>
              </c:strCache>
            </c:strRef>
          </c:cat>
          <c:val>
            <c:numRef>
              <c:f>'Pivot Table'!$B$18:$B$38</c:f>
              <c:numCache>
                <c:formatCode>_-[$€-2]\ * #,##0_-;\-[$€-2]\ * #,##0_-;_-[$€-2]\ * "-"??_-;_-@_-</c:formatCode>
                <c:ptCount val="20"/>
                <c:pt idx="0">
                  <c:v>5220</c:v>
                </c:pt>
                <c:pt idx="1">
                  <c:v>8600</c:v>
                </c:pt>
                <c:pt idx="2">
                  <c:v>3300</c:v>
                </c:pt>
                <c:pt idx="3">
                  <c:v>5950</c:v>
                </c:pt>
                <c:pt idx="4">
                  <c:v>17700</c:v>
                </c:pt>
                <c:pt idx="5">
                  <c:v>10320</c:v>
                </c:pt>
                <c:pt idx="6">
                  <c:v>10750</c:v>
                </c:pt>
                <c:pt idx="7">
                  <c:v>9550</c:v>
                </c:pt>
                <c:pt idx="8">
                  <c:v>5020</c:v>
                </c:pt>
                <c:pt idx="9">
                  <c:v>3950</c:v>
                </c:pt>
                <c:pt idx="10">
                  <c:v>31700</c:v>
                </c:pt>
                <c:pt idx="11">
                  <c:v>14450</c:v>
                </c:pt>
                <c:pt idx="12">
                  <c:v>2200</c:v>
                </c:pt>
                <c:pt idx="13">
                  <c:v>11250</c:v>
                </c:pt>
                <c:pt idx="14">
                  <c:v>4940</c:v>
                </c:pt>
                <c:pt idx="15">
                  <c:v>4940</c:v>
                </c:pt>
                <c:pt idx="16">
                  <c:v>6850</c:v>
                </c:pt>
                <c:pt idx="17">
                  <c:v>3500</c:v>
                </c:pt>
                <c:pt idx="18">
                  <c:v>400</c:v>
                </c:pt>
                <c:pt idx="19">
                  <c:v>150</c:v>
                </c:pt>
              </c:numCache>
            </c:numRef>
          </c:val>
          <c:extLst>
            <c:ext xmlns:c16="http://schemas.microsoft.com/office/drawing/2014/chart" uri="{C3380CC4-5D6E-409C-BE32-E72D297353CC}">
              <c16:uniqueId val="{00000000-92A3-4B6E-A8A4-C83DA716F065}"/>
            </c:ext>
          </c:extLst>
        </c:ser>
        <c:dLbls>
          <c:showLegendKey val="0"/>
          <c:showVal val="0"/>
          <c:showCatName val="0"/>
          <c:showSerName val="0"/>
          <c:showPercent val="0"/>
          <c:showBubbleSize val="0"/>
        </c:dLbls>
        <c:gapWidth val="150"/>
        <c:axId val="450624303"/>
        <c:axId val="450663407"/>
      </c:barChart>
      <c:catAx>
        <c:axId val="450624303"/>
        <c:scaling>
          <c:orientation val="minMax"/>
        </c:scaling>
        <c:delete val="1"/>
        <c:axPos val="b"/>
        <c:numFmt formatCode="General" sourceLinked="1"/>
        <c:majorTickMark val="out"/>
        <c:minorTickMark val="none"/>
        <c:tickLblPos val="nextTo"/>
        <c:crossAx val="450663407"/>
        <c:crosses val="autoZero"/>
        <c:auto val="1"/>
        <c:lblAlgn val="ctr"/>
        <c:lblOffset val="100"/>
        <c:noMultiLvlLbl val="0"/>
      </c:catAx>
      <c:valAx>
        <c:axId val="450663407"/>
        <c:scaling>
          <c:orientation val="minMax"/>
        </c:scaling>
        <c:delete val="0"/>
        <c:axPos val="l"/>
        <c:numFmt formatCode="_-[$€-2]\ * #,##0_-;\-[$€-2]\ * #,##0_-;_-[$€-2]\ *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2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practice.xlsx]Pivot Table!PivotTable6</c:name>
    <c:fmtId val="4"/>
  </c:pivotSource>
  <c:chart>
    <c:title>
      <c:tx>
        <c:rich>
          <a:bodyPr rot="0" spcFirstLastPara="1" vertOverflow="ellipsis" vert="horz" wrap="square" anchor="ctr" anchorCtr="1"/>
          <a:lstStyle/>
          <a:p>
            <a:pPr>
              <a:defRPr sz="1400" b="0" i="0" u="none" strike="noStrike" kern="1200" spc="0" baseline="0">
                <a:ln>
                  <a:solidFill>
                    <a:srgbClr val="0070C0"/>
                  </a:solidFill>
                </a:ln>
                <a:solidFill>
                  <a:schemeClr val="tx1">
                    <a:lumMod val="65000"/>
                    <a:lumOff val="35000"/>
                  </a:schemeClr>
                </a:solidFill>
                <a:latin typeface="+mn-lt"/>
                <a:ea typeface="+mn-ea"/>
                <a:cs typeface="+mn-cs"/>
              </a:defRPr>
            </a:pPr>
            <a:r>
              <a:rPr lang="en-US" sz="1100">
                <a:ln>
                  <a:solidFill>
                    <a:srgbClr val="0070C0"/>
                  </a:solidFill>
                </a:ln>
                <a:solidFill>
                  <a:srgbClr val="0070C0"/>
                </a:solidFill>
              </a:rPr>
              <a:t>CATEGORIES</a:t>
            </a:r>
            <a:r>
              <a:rPr lang="en-US" sz="1100" baseline="0">
                <a:ln>
                  <a:solidFill>
                    <a:srgbClr val="0070C0"/>
                  </a:solidFill>
                </a:ln>
                <a:solidFill>
                  <a:srgbClr val="0070C0"/>
                </a:solidFill>
              </a:rPr>
              <a:t> BY PROFIT AND DISCOUNT</a:t>
            </a:r>
            <a:endParaRPr lang="en-US" sz="1100">
              <a:ln>
                <a:solidFill>
                  <a:srgbClr val="0070C0"/>
                </a:solidFill>
              </a:ln>
              <a:solidFill>
                <a:srgbClr val="0070C0"/>
              </a:solidFill>
            </a:endParaRPr>
          </a:p>
        </c:rich>
      </c:tx>
      <c:layout>
        <c:manualLayout>
          <c:xMode val="edge"/>
          <c:yMode val="edge"/>
          <c:x val="8.6024181134920479E-3"/>
          <c:y val="6.2515228857423439E-3"/>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rgbClr val="0070C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2593155392342E-2"/>
          <c:y val="0.13128198060058921"/>
          <c:w val="0.83863074585293351"/>
          <c:h val="0.65056152950644963"/>
        </c:manualLayout>
      </c:layout>
      <c:barChart>
        <c:barDir val="col"/>
        <c:grouping val="clustered"/>
        <c:varyColors val="0"/>
        <c:ser>
          <c:idx val="0"/>
          <c:order val="0"/>
          <c:tx>
            <c:strRef>
              <c:f>'Pivot Table'!$W$1</c:f>
              <c:strCache>
                <c:ptCount val="1"/>
                <c:pt idx="0">
                  <c:v>Average of discount</c:v>
                </c:pt>
              </c:strCache>
            </c:strRef>
          </c:tx>
          <c:spPr>
            <a:solidFill>
              <a:schemeClr val="accent1"/>
            </a:solidFill>
            <a:ln>
              <a:noFill/>
            </a:ln>
            <a:effectLst/>
          </c:spPr>
          <c:invertIfNegative val="0"/>
          <c:cat>
            <c:multiLvlStrRef>
              <c:f>'Pivot Table'!$U$2:$V$12</c:f>
              <c:multiLvlStrCache>
                <c:ptCount val="8"/>
                <c:lvl>
                  <c:pt idx="0">
                    <c:v>2021</c:v>
                  </c:pt>
                  <c:pt idx="1">
                    <c:v>2022</c:v>
                  </c:pt>
                  <c:pt idx="2">
                    <c:v>2023</c:v>
                  </c:pt>
                  <c:pt idx="3">
                    <c:v>2024</c:v>
                  </c:pt>
                  <c:pt idx="4">
                    <c:v>2021</c:v>
                  </c:pt>
                  <c:pt idx="5">
                    <c:v>2022</c:v>
                  </c:pt>
                  <c:pt idx="6">
                    <c:v>2023</c:v>
                  </c:pt>
                  <c:pt idx="7">
                    <c:v>2024</c:v>
                  </c:pt>
                </c:lvl>
                <c:lvl>
                  <c:pt idx="0">
                    <c:v>Electronics</c:v>
                  </c:pt>
                  <c:pt idx="4">
                    <c:v>Furniture</c:v>
                  </c:pt>
                </c:lvl>
              </c:multiLvlStrCache>
            </c:multiLvlStrRef>
          </c:cat>
          <c:val>
            <c:numRef>
              <c:f>'Pivot Table'!$W$2:$W$12</c:f>
              <c:numCache>
                <c:formatCode>0.00%</c:formatCode>
                <c:ptCount val="8"/>
                <c:pt idx="0">
                  <c:v>9.9230769230769261E-2</c:v>
                </c:pt>
                <c:pt idx="1">
                  <c:v>0.12</c:v>
                </c:pt>
                <c:pt idx="2">
                  <c:v>0.10024999999999999</c:v>
                </c:pt>
                <c:pt idx="3">
                  <c:v>0.10777777777777778</c:v>
                </c:pt>
                <c:pt idx="4">
                  <c:v>0.14285714285714285</c:v>
                </c:pt>
                <c:pt idx="5">
                  <c:v>0.12621621621621623</c:v>
                </c:pt>
                <c:pt idx="6">
                  <c:v>0.10375</c:v>
                </c:pt>
                <c:pt idx="7">
                  <c:v>9.8918918918918949E-2</c:v>
                </c:pt>
              </c:numCache>
            </c:numRef>
          </c:val>
          <c:extLst>
            <c:ext xmlns:c16="http://schemas.microsoft.com/office/drawing/2014/chart" uri="{C3380CC4-5D6E-409C-BE32-E72D297353CC}">
              <c16:uniqueId val="{00000000-36EB-4118-B72D-7C53450D275A}"/>
            </c:ext>
          </c:extLst>
        </c:ser>
        <c:ser>
          <c:idx val="1"/>
          <c:order val="1"/>
          <c:tx>
            <c:strRef>
              <c:f>'Pivot Table'!$X$1</c:f>
              <c:strCache>
                <c:ptCount val="1"/>
                <c:pt idx="0">
                  <c:v>Sum of profit</c:v>
                </c:pt>
              </c:strCache>
            </c:strRef>
          </c:tx>
          <c:spPr>
            <a:solidFill>
              <a:schemeClr val="accent2"/>
            </a:solidFill>
            <a:ln>
              <a:noFill/>
            </a:ln>
            <a:effectLst/>
          </c:spPr>
          <c:invertIfNegative val="0"/>
          <c:cat>
            <c:multiLvlStrRef>
              <c:f>'Pivot Table'!$U$2:$V$12</c:f>
              <c:multiLvlStrCache>
                <c:ptCount val="8"/>
                <c:lvl>
                  <c:pt idx="0">
                    <c:v>2021</c:v>
                  </c:pt>
                  <c:pt idx="1">
                    <c:v>2022</c:v>
                  </c:pt>
                  <c:pt idx="2">
                    <c:v>2023</c:v>
                  </c:pt>
                  <c:pt idx="3">
                    <c:v>2024</c:v>
                  </c:pt>
                  <c:pt idx="4">
                    <c:v>2021</c:v>
                  </c:pt>
                  <c:pt idx="5">
                    <c:v>2022</c:v>
                  </c:pt>
                  <c:pt idx="6">
                    <c:v>2023</c:v>
                  </c:pt>
                  <c:pt idx="7">
                    <c:v>2024</c:v>
                  </c:pt>
                </c:lvl>
                <c:lvl>
                  <c:pt idx="0">
                    <c:v>Electronics</c:v>
                  </c:pt>
                  <c:pt idx="4">
                    <c:v>Furniture</c:v>
                  </c:pt>
                </c:lvl>
              </c:multiLvlStrCache>
            </c:multiLvlStrRef>
          </c:cat>
          <c:val>
            <c:numRef>
              <c:f>'Pivot Table'!$X$2:$X$12</c:f>
              <c:numCache>
                <c:formatCode>_-[$€-2]\ * #,##0.00_-;\-[$€-2]\ * #,##0.00_-;_-[$€-2]\ * "-"??_-;_-@_-</c:formatCode>
                <c:ptCount val="8"/>
                <c:pt idx="0">
                  <c:v>6372.85</c:v>
                </c:pt>
                <c:pt idx="1">
                  <c:v>1323.15</c:v>
                </c:pt>
                <c:pt idx="2">
                  <c:v>5047.3</c:v>
                </c:pt>
                <c:pt idx="3">
                  <c:v>1088.25</c:v>
                </c:pt>
                <c:pt idx="4">
                  <c:v>557.65</c:v>
                </c:pt>
                <c:pt idx="5">
                  <c:v>4393.2</c:v>
                </c:pt>
                <c:pt idx="6">
                  <c:v>811.95</c:v>
                </c:pt>
                <c:pt idx="7">
                  <c:v>5142.6000000000004</c:v>
                </c:pt>
              </c:numCache>
            </c:numRef>
          </c:val>
          <c:extLst>
            <c:ext xmlns:c16="http://schemas.microsoft.com/office/drawing/2014/chart" uri="{C3380CC4-5D6E-409C-BE32-E72D297353CC}">
              <c16:uniqueId val="{00000001-36EB-4118-B72D-7C53450D275A}"/>
            </c:ext>
          </c:extLst>
        </c:ser>
        <c:dLbls>
          <c:showLegendKey val="0"/>
          <c:showVal val="0"/>
          <c:showCatName val="0"/>
          <c:showSerName val="0"/>
          <c:showPercent val="0"/>
          <c:showBubbleSize val="0"/>
        </c:dLbls>
        <c:gapWidth val="219"/>
        <c:overlap val="-27"/>
        <c:axId val="450568559"/>
        <c:axId val="450579375"/>
      </c:barChart>
      <c:catAx>
        <c:axId val="4505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579375"/>
        <c:crosses val="autoZero"/>
        <c:auto val="1"/>
        <c:lblAlgn val="ctr"/>
        <c:lblOffset val="100"/>
        <c:noMultiLvlLbl val="0"/>
      </c:catAx>
      <c:valAx>
        <c:axId val="450579375"/>
        <c:scaling>
          <c:orientation val="minMax"/>
        </c:scaling>
        <c:delete val="1"/>
        <c:axPos val="l"/>
        <c:numFmt formatCode="0.00%" sourceLinked="1"/>
        <c:majorTickMark val="none"/>
        <c:minorTickMark val="none"/>
        <c:tickLblPos val="nextTo"/>
        <c:crossAx val="450568559"/>
        <c:crosses val="autoZero"/>
        <c:crossBetween val="between"/>
      </c:valAx>
      <c:spPr>
        <a:noFill/>
        <a:ln>
          <a:noFill/>
        </a:ln>
        <a:effectLst/>
      </c:spPr>
    </c:plotArea>
    <c:legend>
      <c:legendPos val="r"/>
      <c:layout>
        <c:manualLayout>
          <c:xMode val="edge"/>
          <c:yMode val="edge"/>
          <c:x val="0.62755366964028891"/>
          <c:y val="8.1928422524187722E-2"/>
          <c:w val="0.3528897805169951"/>
          <c:h val="0.17973275970278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 practice.xlsx]Pivot Table!PivotTable16</c:name>
    <c:fmtId val="1"/>
  </c:pivotSource>
  <c:chart>
    <c:title>
      <c:tx>
        <c:rich>
          <a:bodyPr rot="0" spcFirstLastPara="1" vertOverflow="ellipsis" vert="horz" wrap="square" anchor="ctr" anchorCtr="1"/>
          <a:lstStyle/>
          <a:p>
            <a:pPr>
              <a:defRPr sz="1100" b="0" i="0" u="none" strike="noStrike" kern="1200" spc="0" baseline="0">
                <a:ln>
                  <a:solidFill>
                    <a:srgbClr val="0070C0"/>
                  </a:solidFill>
                </a:ln>
                <a:solidFill>
                  <a:srgbClr val="0070C0"/>
                </a:solidFill>
                <a:latin typeface="+mn-lt"/>
                <a:ea typeface="+mn-ea"/>
                <a:cs typeface="+mn-cs"/>
              </a:defRPr>
            </a:pPr>
            <a:r>
              <a:rPr lang="en-US" sz="1100">
                <a:ln>
                  <a:solidFill>
                    <a:srgbClr val="0070C0"/>
                  </a:solidFill>
                </a:ln>
                <a:solidFill>
                  <a:srgbClr val="0070C0"/>
                </a:solidFill>
              </a:rPr>
              <a:t>PRODUCT</a:t>
            </a:r>
            <a:r>
              <a:rPr lang="en-US" sz="1100" baseline="0">
                <a:ln>
                  <a:solidFill>
                    <a:srgbClr val="0070C0"/>
                  </a:solidFill>
                </a:ln>
                <a:solidFill>
                  <a:srgbClr val="0070C0"/>
                </a:solidFill>
              </a:rPr>
              <a:t> QUANTITY BY CUSTOMER</a:t>
            </a:r>
            <a:endParaRPr lang="en-US" sz="1100">
              <a:ln>
                <a:solidFill>
                  <a:srgbClr val="0070C0"/>
                </a:solidFill>
              </a:ln>
              <a:solidFill>
                <a:srgbClr val="0070C0"/>
              </a:solidFill>
            </a:endParaRPr>
          </a:p>
        </c:rich>
      </c:tx>
      <c:layout>
        <c:manualLayout>
          <c:xMode val="edge"/>
          <c:yMode val="edge"/>
          <c:x val="2.6175817472977297E-2"/>
          <c:y val="3.1754191553285037E-2"/>
        </c:manualLayout>
      </c:layout>
      <c:overlay val="0"/>
      <c:spPr>
        <a:noFill/>
        <a:ln>
          <a:noFill/>
        </a:ln>
        <a:effectLst/>
      </c:spPr>
      <c:txPr>
        <a:bodyPr rot="0" spcFirstLastPara="1" vertOverflow="ellipsis" vert="horz" wrap="square" anchor="ctr" anchorCtr="1"/>
        <a:lstStyle/>
        <a:p>
          <a:pPr>
            <a:defRPr sz="1100" b="0" i="0" u="none" strike="noStrike" kern="1200" spc="0" baseline="0">
              <a:ln>
                <a:solidFill>
                  <a:srgbClr val="0070C0"/>
                </a:solidFill>
              </a:ln>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Table'!$AD$1</c:f>
              <c:strCache>
                <c:ptCount val="1"/>
                <c:pt idx="0">
                  <c:v>Total</c:v>
                </c:pt>
              </c:strCache>
            </c:strRef>
          </c:tx>
          <c:spPr>
            <a:solidFill>
              <a:schemeClr val="accent1"/>
            </a:solidFill>
            <a:ln>
              <a:noFill/>
            </a:ln>
            <a:effectLst/>
          </c:spPr>
          <c:invertIfNegative val="0"/>
          <c:cat>
            <c:multiLvlStrRef>
              <c:f>'Pivot Table'!$AB$2:$AC$7</c:f>
              <c:multiLvlStrCache>
                <c:ptCount val="5"/>
                <c:lvl>
                  <c:pt idx="0">
                    <c:v>Asher Long</c:v>
                  </c:pt>
                  <c:pt idx="1">
                    <c:v>Aubrey Hughes</c:v>
                  </c:pt>
                  <c:pt idx="2">
                    <c:v>Carter Parker</c:v>
                  </c:pt>
                  <c:pt idx="3">
                    <c:v>Finn Cole</c:v>
                  </c:pt>
                  <c:pt idx="4">
                    <c:v>Theo Dunn</c:v>
                  </c:pt>
                </c:lvl>
                <c:lvl>
                  <c:pt idx="0">
                    <c:v>Chair</c:v>
                  </c:pt>
                  <c:pt idx="1">
                    <c:v>Bookshelf</c:v>
                  </c:pt>
                  <c:pt idx="2">
                    <c:v>Cabinet</c:v>
                  </c:pt>
                  <c:pt idx="3">
                    <c:v>Headphones</c:v>
                  </c:pt>
                  <c:pt idx="4">
                    <c:v>Laptop</c:v>
                  </c:pt>
                </c:lvl>
              </c:multiLvlStrCache>
            </c:multiLvlStrRef>
          </c:cat>
          <c:val>
            <c:numRef>
              <c:f>'Pivot Table'!$AD$2:$AD$7</c:f>
              <c:numCache>
                <c:formatCode>General</c:formatCode>
                <c:ptCount val="5"/>
                <c:pt idx="0">
                  <c:v>1</c:v>
                </c:pt>
                <c:pt idx="1">
                  <c:v>1</c:v>
                </c:pt>
                <c:pt idx="2">
                  <c:v>1</c:v>
                </c:pt>
                <c:pt idx="3">
                  <c:v>2</c:v>
                </c:pt>
                <c:pt idx="4">
                  <c:v>2</c:v>
                </c:pt>
              </c:numCache>
            </c:numRef>
          </c:val>
          <c:extLst>
            <c:ext xmlns:c16="http://schemas.microsoft.com/office/drawing/2014/chart" uri="{C3380CC4-5D6E-409C-BE32-E72D297353CC}">
              <c16:uniqueId val="{00000000-479C-47B7-835A-B88A0F4823EF}"/>
            </c:ext>
          </c:extLst>
        </c:ser>
        <c:dLbls>
          <c:showLegendKey val="0"/>
          <c:showVal val="0"/>
          <c:showCatName val="0"/>
          <c:showSerName val="0"/>
          <c:showPercent val="0"/>
          <c:showBubbleSize val="0"/>
        </c:dLbls>
        <c:gapWidth val="219"/>
        <c:overlap val="-27"/>
        <c:axId val="465754495"/>
        <c:axId val="465770719"/>
      </c:barChart>
      <c:catAx>
        <c:axId val="4657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70719"/>
        <c:crosses val="autoZero"/>
        <c:auto val="1"/>
        <c:lblAlgn val="ctr"/>
        <c:lblOffset val="100"/>
        <c:noMultiLvlLbl val="0"/>
      </c:catAx>
      <c:valAx>
        <c:axId val="465770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5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160381</xdr:colOff>
      <xdr:row>0</xdr:row>
      <xdr:rowOff>177800</xdr:rowOff>
    </xdr:from>
    <xdr:to>
      <xdr:col>18</xdr:col>
      <xdr:colOff>773887</xdr:colOff>
      <xdr:row>14</xdr:row>
      <xdr:rowOff>80515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E443494-5D5A-4AE1-9ED8-7DDA59C5D3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936343" y="177800"/>
              <a:ext cx="1834659" cy="2467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592670</xdr:colOff>
      <xdr:row>3</xdr:row>
      <xdr:rowOff>92319</xdr:rowOff>
    </xdr:from>
    <xdr:to>
      <xdr:col>19</xdr:col>
      <xdr:colOff>374978</xdr:colOff>
      <xdr:row>17</xdr:row>
      <xdr:rowOff>3175</xdr:rowOff>
    </xdr:to>
    <mc:AlternateContent xmlns:mc="http://schemas.openxmlformats.org/markup-compatibility/2006">
      <mc:Choice xmlns:a14="http://schemas.microsoft.com/office/drawing/2010/main" Requires="a14">
        <xdr:graphicFrame macro="">
          <xdr:nvGraphicFramePr>
            <xdr:cNvPr id="8" name="discount">
              <a:extLst>
                <a:ext uri="{FF2B5EF4-FFF2-40B4-BE49-F238E27FC236}">
                  <a16:creationId xmlns:a16="http://schemas.microsoft.com/office/drawing/2014/main" id="{B616F34A-B985-4551-8691-C06A09E2F9DF}"/>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15368632" y="641838"/>
              <a:ext cx="1833846" cy="2475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929220</xdr:colOff>
      <xdr:row>6</xdr:row>
      <xdr:rowOff>6838</xdr:rowOff>
    </xdr:from>
    <xdr:to>
      <xdr:col>19</xdr:col>
      <xdr:colOff>703388</xdr:colOff>
      <xdr:row>19</xdr:row>
      <xdr:rowOff>96797</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FF34CD57-D78C-42C1-A24B-48A1A6C220D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705182" y="1105876"/>
              <a:ext cx="1825706" cy="2471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72458</xdr:colOff>
      <xdr:row>8</xdr:row>
      <xdr:rowOff>108601</xdr:rowOff>
    </xdr:from>
    <xdr:to>
      <xdr:col>19</xdr:col>
      <xdr:colOff>1067617</xdr:colOff>
      <xdr:row>22</xdr:row>
      <xdr:rowOff>11316</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66C6207B-2EC2-415B-AD0C-08A5D774E3B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069573" y="1573986"/>
              <a:ext cx="1825544" cy="2467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229049</xdr:colOff>
      <xdr:row>5</xdr:row>
      <xdr:rowOff>80493</xdr:rowOff>
    </xdr:from>
    <xdr:to>
      <xdr:col>25</xdr:col>
      <xdr:colOff>423333</xdr:colOff>
      <xdr:row>8</xdr:row>
      <xdr:rowOff>167067</xdr:rowOff>
    </xdr:to>
    <xdr:sp macro="" textlink="">
      <xdr:nvSpPr>
        <xdr:cNvPr id="2" name="Rectangle 1">
          <a:extLst>
            <a:ext uri="{FF2B5EF4-FFF2-40B4-BE49-F238E27FC236}">
              <a16:creationId xmlns:a16="http://schemas.microsoft.com/office/drawing/2014/main" id="{C112C29B-C257-42A4-93D6-9E5090796CCA}"/>
            </a:ext>
          </a:extLst>
        </xdr:cNvPr>
        <xdr:cNvSpPr/>
      </xdr:nvSpPr>
      <xdr:spPr>
        <a:xfrm>
          <a:off x="2058852" y="80493"/>
          <a:ext cx="13612836" cy="6380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209271</xdr:colOff>
      <xdr:row>9</xdr:row>
      <xdr:rowOff>114594</xdr:rowOff>
    </xdr:from>
    <xdr:to>
      <xdr:col>6</xdr:col>
      <xdr:colOff>220868</xdr:colOff>
      <xdr:row>12</xdr:row>
      <xdr:rowOff>139994</xdr:rowOff>
    </xdr:to>
    <xdr:sp macro="" textlink="'Pivot Table'!V25">
      <xdr:nvSpPr>
        <xdr:cNvPr id="3" name="Rectangle: Rounded Corners 2">
          <a:extLst>
            <a:ext uri="{FF2B5EF4-FFF2-40B4-BE49-F238E27FC236}">
              <a16:creationId xmlns:a16="http://schemas.microsoft.com/office/drawing/2014/main" id="{4E690877-83E7-42A2-9FFC-932D701FB30F}"/>
            </a:ext>
          </a:extLst>
        </xdr:cNvPr>
        <xdr:cNvSpPr/>
      </xdr:nvSpPr>
      <xdr:spPr>
        <a:xfrm>
          <a:off x="2039074" y="849857"/>
          <a:ext cx="1841399" cy="57684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902C8C8-5846-4F38-951B-262E91C1A19B}" type="TxLink">
            <a:rPr lang="en-US" sz="1800" b="1" i="0" u="none" strike="noStrike">
              <a:solidFill>
                <a:srgbClr val="0070C0"/>
              </a:solidFill>
              <a:latin typeface="Calibri"/>
              <a:cs typeface="Calibri"/>
            </a:rPr>
            <a:pPr algn="ctr"/>
            <a:t> € 24,736.95 </a:t>
          </a:fld>
          <a:endParaRPr lang="en-US" sz="1800" b="1">
            <a:solidFill>
              <a:srgbClr val="0070C0"/>
            </a:solidFill>
          </a:endParaRPr>
        </a:p>
      </xdr:txBody>
    </xdr:sp>
    <xdr:clientData/>
  </xdr:twoCellAnchor>
  <xdr:twoCellAnchor>
    <xdr:from>
      <xdr:col>3</xdr:col>
      <xdr:colOff>184311</xdr:colOff>
      <xdr:row>13</xdr:row>
      <xdr:rowOff>48106</xdr:rowOff>
    </xdr:from>
    <xdr:to>
      <xdr:col>10</xdr:col>
      <xdr:colOff>67348</xdr:colOff>
      <xdr:row>23</xdr:row>
      <xdr:rowOff>76969</xdr:rowOff>
    </xdr:to>
    <xdr:graphicFrame macro="">
      <xdr:nvGraphicFramePr>
        <xdr:cNvPr id="7" name="Chart 1">
          <a:extLst>
            <a:ext uri="{FF2B5EF4-FFF2-40B4-BE49-F238E27FC236}">
              <a16:creationId xmlns:a16="http://schemas.microsoft.com/office/drawing/2014/main" id="{CC7AC3AA-2A91-47E1-A159-764A7CEA9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68952</xdr:colOff>
      <xdr:row>13</xdr:row>
      <xdr:rowOff>38067</xdr:rowOff>
    </xdr:from>
    <xdr:to>
      <xdr:col>18</xdr:col>
      <xdr:colOff>327118</xdr:colOff>
      <xdr:row>23</xdr:row>
      <xdr:rowOff>86172</xdr:rowOff>
    </xdr:to>
    <xdr:graphicFrame macro="">
      <xdr:nvGraphicFramePr>
        <xdr:cNvPr id="8" name="Chart 2">
          <a:extLst>
            <a:ext uri="{FF2B5EF4-FFF2-40B4-BE49-F238E27FC236}">
              <a16:creationId xmlns:a16="http://schemas.microsoft.com/office/drawing/2014/main" id="{35055C11-C86B-45F3-970F-BC67E79BA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338190</xdr:colOff>
      <xdr:row>13</xdr:row>
      <xdr:rowOff>28863</xdr:rowOff>
    </xdr:from>
    <xdr:to>
      <xdr:col>25</xdr:col>
      <xdr:colOff>442574</xdr:colOff>
      <xdr:row>23</xdr:row>
      <xdr:rowOff>57727</xdr:rowOff>
    </xdr:to>
    <xdr:graphicFrame macro="">
      <xdr:nvGraphicFramePr>
        <xdr:cNvPr id="9" name="Chart 3">
          <a:extLst>
            <a:ext uri="{FF2B5EF4-FFF2-40B4-BE49-F238E27FC236}">
              <a16:creationId xmlns:a16="http://schemas.microsoft.com/office/drawing/2014/main" id="{BA17369B-1EEE-4959-902C-88E4B6651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176202</xdr:colOff>
      <xdr:row>23</xdr:row>
      <xdr:rowOff>72598</xdr:rowOff>
    </xdr:from>
    <xdr:to>
      <xdr:col>8</xdr:col>
      <xdr:colOff>394888</xdr:colOff>
      <xdr:row>34</xdr:row>
      <xdr:rowOff>57727</xdr:rowOff>
    </xdr:to>
    <xdr:graphicFrame macro="">
      <xdr:nvGraphicFramePr>
        <xdr:cNvPr id="10" name="Chart 5">
          <a:extLst>
            <a:ext uri="{FF2B5EF4-FFF2-40B4-BE49-F238E27FC236}">
              <a16:creationId xmlns:a16="http://schemas.microsoft.com/office/drawing/2014/main" id="{29C3738D-5688-4222-9798-AB531DA5F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384012</xdr:colOff>
      <xdr:row>23</xdr:row>
      <xdr:rowOff>77032</xdr:rowOff>
    </xdr:from>
    <xdr:to>
      <xdr:col>14</xdr:col>
      <xdr:colOff>28027</xdr:colOff>
      <xdr:row>34</xdr:row>
      <xdr:rowOff>44963</xdr:rowOff>
    </xdr:to>
    <xdr:graphicFrame macro="">
      <xdr:nvGraphicFramePr>
        <xdr:cNvPr id="11" name="Chart 6">
          <a:extLst>
            <a:ext uri="{FF2B5EF4-FFF2-40B4-BE49-F238E27FC236}">
              <a16:creationId xmlns:a16="http://schemas.microsoft.com/office/drawing/2014/main" id="{9379BA78-ED39-4620-8816-952E28CAB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448314</xdr:colOff>
      <xdr:row>9</xdr:row>
      <xdr:rowOff>116695</xdr:rowOff>
    </xdr:from>
    <xdr:to>
      <xdr:col>10</xdr:col>
      <xdr:colOff>525953</xdr:colOff>
      <xdr:row>12</xdr:row>
      <xdr:rowOff>142095</xdr:rowOff>
    </xdr:to>
    <xdr:sp macro="" textlink="'Pivot Table'!V28">
      <xdr:nvSpPr>
        <xdr:cNvPr id="26" name="Rectangle: Rounded Corners 25">
          <a:extLst>
            <a:ext uri="{FF2B5EF4-FFF2-40B4-BE49-F238E27FC236}">
              <a16:creationId xmlns:a16="http://schemas.microsoft.com/office/drawing/2014/main" id="{E107EFB1-1301-43C0-9E56-ED1E4918377C}"/>
            </a:ext>
          </a:extLst>
        </xdr:cNvPr>
        <xdr:cNvSpPr/>
      </xdr:nvSpPr>
      <xdr:spPr>
        <a:xfrm>
          <a:off x="4717853" y="851958"/>
          <a:ext cx="1907442" cy="57684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2CC4E4A-6776-4560-A194-BEFAF8A5F9D6}" type="TxLink">
            <a:rPr lang="en-US" sz="1800" b="1" i="0" u="none" strike="noStrike">
              <a:solidFill>
                <a:srgbClr val="0070C0"/>
              </a:solidFill>
              <a:latin typeface="Calibri"/>
              <a:cs typeface="Calibri"/>
            </a:rPr>
            <a:pPr algn="ctr"/>
            <a:t> € 160,740 </a:t>
          </a:fld>
          <a:endParaRPr lang="en-US" sz="1800" b="1">
            <a:solidFill>
              <a:srgbClr val="0070C0"/>
            </a:solidFill>
          </a:endParaRPr>
        </a:p>
      </xdr:txBody>
    </xdr:sp>
    <xdr:clientData/>
  </xdr:twoCellAnchor>
  <xdr:twoCellAnchor>
    <xdr:from>
      <xdr:col>12</xdr:col>
      <xdr:colOff>221349</xdr:colOff>
      <xdr:row>9</xdr:row>
      <xdr:rowOff>88623</xdr:rowOff>
    </xdr:from>
    <xdr:to>
      <xdr:col>15</xdr:col>
      <xdr:colOff>447275</xdr:colOff>
      <xdr:row>12</xdr:row>
      <xdr:rowOff>114023</xdr:rowOff>
    </xdr:to>
    <xdr:sp macro="" textlink="'Pivot Table'!V31">
      <xdr:nvSpPr>
        <xdr:cNvPr id="28" name="Rectangle: Rounded Corners 27">
          <a:extLst>
            <a:ext uri="{FF2B5EF4-FFF2-40B4-BE49-F238E27FC236}">
              <a16:creationId xmlns:a16="http://schemas.microsoft.com/office/drawing/2014/main" id="{87514D72-8BFE-4CA7-AE28-FA88BAF33816}"/>
            </a:ext>
          </a:extLst>
        </xdr:cNvPr>
        <xdr:cNvSpPr/>
      </xdr:nvSpPr>
      <xdr:spPr>
        <a:xfrm>
          <a:off x="7540560" y="823886"/>
          <a:ext cx="2055728" cy="57684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D6FCA7E-2AB1-4283-ACD1-CFD535161EC9}" type="TxLink">
            <a:rPr lang="en-US" sz="1800" b="1" i="0" u="none" strike="noStrike">
              <a:solidFill>
                <a:srgbClr val="0070C0"/>
              </a:solidFill>
              <a:latin typeface="Calibri"/>
              <a:cs typeface="Calibri"/>
            </a:rPr>
            <a:pPr algn="ctr"/>
            <a:t>927</a:t>
          </a:fld>
          <a:endParaRPr lang="en-US" sz="1800" b="1">
            <a:solidFill>
              <a:srgbClr val="0070C0"/>
            </a:solidFill>
          </a:endParaRPr>
        </a:p>
      </xdr:txBody>
    </xdr:sp>
    <xdr:clientData/>
  </xdr:twoCellAnchor>
  <xdr:twoCellAnchor>
    <xdr:from>
      <xdr:col>17</xdr:col>
      <xdr:colOff>415983</xdr:colOff>
      <xdr:row>9</xdr:row>
      <xdr:rowOff>95496</xdr:rowOff>
    </xdr:from>
    <xdr:to>
      <xdr:col>20</xdr:col>
      <xdr:colOff>533768</xdr:colOff>
      <xdr:row>12</xdr:row>
      <xdr:rowOff>120896</xdr:rowOff>
    </xdr:to>
    <xdr:sp macro="" textlink="'Pivot Table'!V34">
      <xdr:nvSpPr>
        <xdr:cNvPr id="30" name="Rectangle: Rounded Corners 29">
          <a:extLst>
            <a:ext uri="{FF2B5EF4-FFF2-40B4-BE49-F238E27FC236}">
              <a16:creationId xmlns:a16="http://schemas.microsoft.com/office/drawing/2014/main" id="{F9D57EDF-62C0-4FA1-9EDF-D51D8C44AE69}"/>
            </a:ext>
          </a:extLst>
        </xdr:cNvPr>
        <xdr:cNvSpPr/>
      </xdr:nvSpPr>
      <xdr:spPr>
        <a:xfrm>
          <a:off x="10784865" y="830759"/>
          <a:ext cx="1947587" cy="57684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8774440-B835-4B16-8586-BB8E42E57E37}" type="TxLink">
            <a:rPr lang="en-US" sz="1800" b="1" i="0" u="none" strike="noStrike">
              <a:solidFill>
                <a:srgbClr val="0070C0"/>
              </a:solidFill>
              <a:latin typeface="Calibri"/>
              <a:cs typeface="Calibri"/>
            </a:rPr>
            <a:pPr algn="ctr"/>
            <a:t>10.81%</a:t>
          </a:fld>
          <a:endParaRPr lang="en-US" sz="1800" b="1">
            <a:solidFill>
              <a:srgbClr val="0070C0"/>
            </a:solidFill>
          </a:endParaRPr>
        </a:p>
      </xdr:txBody>
    </xdr:sp>
    <xdr:clientData/>
  </xdr:twoCellAnchor>
  <xdr:twoCellAnchor editAs="oneCell">
    <xdr:from>
      <xdr:col>0</xdr:col>
      <xdr:colOff>0</xdr:colOff>
      <xdr:row>5</xdr:row>
      <xdr:rowOff>28864</xdr:rowOff>
    </xdr:from>
    <xdr:to>
      <xdr:col>3</xdr:col>
      <xdr:colOff>10391</xdr:colOff>
      <xdr:row>9</xdr:row>
      <xdr:rowOff>115455</xdr:rowOff>
    </xdr:to>
    <mc:AlternateContent xmlns:mc="http://schemas.openxmlformats.org/markup-compatibility/2006">
      <mc:Choice xmlns:a14="http://schemas.microsoft.com/office/drawing/2010/main" Requires="a14">
        <xdr:graphicFrame macro="">
          <xdr:nvGraphicFramePr>
            <xdr:cNvPr id="31" name="category 1">
              <a:extLst>
                <a:ext uri="{FF2B5EF4-FFF2-40B4-BE49-F238E27FC236}">
                  <a16:creationId xmlns:a16="http://schemas.microsoft.com/office/drawing/2014/main" id="{34275AA4-522F-426F-8C67-5E0147D901C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947943"/>
              <a:ext cx="1840194" cy="821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72160</xdr:rowOff>
    </xdr:from>
    <xdr:to>
      <xdr:col>3</xdr:col>
      <xdr:colOff>10391</xdr:colOff>
      <xdr:row>34</xdr:row>
      <xdr:rowOff>48106</xdr:rowOff>
    </xdr:to>
    <mc:AlternateContent xmlns:mc="http://schemas.openxmlformats.org/markup-compatibility/2006">
      <mc:Choice xmlns:a14="http://schemas.microsoft.com/office/drawing/2010/main" Requires="a14">
        <xdr:graphicFrame macro="">
          <xdr:nvGraphicFramePr>
            <xdr:cNvPr id="32" name="discount 1">
              <a:extLst>
                <a:ext uri="{FF2B5EF4-FFF2-40B4-BE49-F238E27FC236}">
                  <a16:creationId xmlns:a16="http://schemas.microsoft.com/office/drawing/2014/main" id="{CDF5A5E0-E975-4B66-9E89-32B51D76E3A7}"/>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dr:sp macro="" textlink="">
          <xdr:nvSpPr>
            <xdr:cNvPr id="0" name=""/>
            <xdr:cNvSpPr>
              <a:spLocks noTextEdit="1"/>
            </xdr:cNvSpPr>
          </xdr:nvSpPr>
          <xdr:spPr>
            <a:xfrm>
              <a:off x="0" y="4299923"/>
              <a:ext cx="1840194" cy="1997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124658</xdr:rowOff>
    </xdr:from>
    <xdr:to>
      <xdr:col>3</xdr:col>
      <xdr:colOff>10391</xdr:colOff>
      <xdr:row>23</xdr:row>
      <xdr:rowOff>89540</xdr:rowOff>
    </xdr:to>
    <mc:AlternateContent xmlns:mc="http://schemas.openxmlformats.org/markup-compatibility/2006">
      <mc:Choice xmlns:a14="http://schemas.microsoft.com/office/drawing/2010/main" Requires="a14">
        <xdr:graphicFrame macro="">
          <xdr:nvGraphicFramePr>
            <xdr:cNvPr id="33" name="product 1">
              <a:extLst>
                <a:ext uri="{FF2B5EF4-FFF2-40B4-BE49-F238E27FC236}">
                  <a16:creationId xmlns:a16="http://schemas.microsoft.com/office/drawing/2014/main" id="{2C91530F-4F5A-4DC9-9E8D-17EE3E1E5FF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1779000"/>
              <a:ext cx="1840194" cy="2538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529589</xdr:colOff>
      <xdr:row>5</xdr:row>
      <xdr:rowOff>92028</xdr:rowOff>
    </xdr:from>
    <xdr:to>
      <xdr:col>25</xdr:col>
      <xdr:colOff>450942</xdr:colOff>
      <xdr:row>8</xdr:row>
      <xdr:rowOff>165651</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67C7C912-F237-4F1C-A1E7-A17EA4F5B17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783975" y="92028"/>
              <a:ext cx="2984949" cy="641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20034</xdr:colOff>
      <xdr:row>23</xdr:row>
      <xdr:rowOff>41239</xdr:rowOff>
    </xdr:from>
    <xdr:to>
      <xdr:col>19</xdr:col>
      <xdr:colOff>230071</xdr:colOff>
      <xdr:row>34</xdr:row>
      <xdr:rowOff>48106</xdr:rowOff>
    </xdr:to>
    <xdr:graphicFrame macro="">
      <xdr:nvGraphicFramePr>
        <xdr:cNvPr id="14" name="Chart 10">
          <a:extLst>
            <a:ext uri="{FF2B5EF4-FFF2-40B4-BE49-F238E27FC236}">
              <a16:creationId xmlns:a16="http://schemas.microsoft.com/office/drawing/2014/main" id="{B32AAAC3-FF0A-44EE-8E6B-61B7C270A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231327</xdr:colOff>
      <xdr:row>5</xdr:row>
      <xdr:rowOff>95794</xdr:rowOff>
    </xdr:from>
    <xdr:to>
      <xdr:col>20</xdr:col>
      <xdr:colOff>519964</xdr:colOff>
      <xdr:row>8</xdr:row>
      <xdr:rowOff>153521</xdr:rowOff>
    </xdr:to>
    <xdr:sp macro="" textlink="">
      <xdr:nvSpPr>
        <xdr:cNvPr id="15" name="TextBox 14">
          <a:extLst>
            <a:ext uri="{FF2B5EF4-FFF2-40B4-BE49-F238E27FC236}">
              <a16:creationId xmlns:a16="http://schemas.microsoft.com/office/drawing/2014/main" id="{E304EE9A-F633-40CF-A909-CAE9432D9DE7}"/>
            </a:ext>
          </a:extLst>
        </xdr:cNvPr>
        <xdr:cNvSpPr txBox="1"/>
      </xdr:nvSpPr>
      <xdr:spPr>
        <a:xfrm>
          <a:off x="2061130" y="95794"/>
          <a:ext cx="10657518" cy="609174"/>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0070C0"/>
              </a:solidFill>
            </a:rPr>
            <a:t>KILANBAKA</a:t>
          </a:r>
          <a:r>
            <a:rPr lang="en-US" sz="2800" b="1" baseline="0">
              <a:solidFill>
                <a:srgbClr val="0070C0"/>
              </a:solidFill>
            </a:rPr>
            <a:t> SUPERSTORE SALES ANALYSIS </a:t>
          </a:r>
          <a:r>
            <a:rPr lang="en-US" sz="3200" b="1" baseline="0">
              <a:solidFill>
                <a:srgbClr val="0070C0"/>
              </a:solidFill>
            </a:rPr>
            <a:t>DASHBOARD</a:t>
          </a:r>
          <a:endParaRPr lang="en-US" sz="3200" b="1">
            <a:solidFill>
              <a:srgbClr val="0070C0"/>
            </a:solidFill>
          </a:endParaRPr>
        </a:p>
      </xdr:txBody>
    </xdr:sp>
    <xdr:clientData/>
  </xdr:twoCellAnchor>
  <xdr:twoCellAnchor>
    <xdr:from>
      <xdr:col>22</xdr:col>
      <xdr:colOff>386521</xdr:colOff>
      <xdr:row>9</xdr:row>
      <xdr:rowOff>98499</xdr:rowOff>
    </xdr:from>
    <xdr:to>
      <xdr:col>25</xdr:col>
      <xdr:colOff>410115</xdr:colOff>
      <xdr:row>12</xdr:row>
      <xdr:rowOff>123899</xdr:rowOff>
    </xdr:to>
    <xdr:sp macro="" textlink="'Pivot Table'!V42">
      <xdr:nvSpPr>
        <xdr:cNvPr id="38" name="Rectangle: Rounded Corners 37">
          <a:extLst>
            <a:ext uri="{FF2B5EF4-FFF2-40B4-BE49-F238E27FC236}">
              <a16:creationId xmlns:a16="http://schemas.microsoft.com/office/drawing/2014/main" id="{3A91E89F-4B0F-4D87-B466-F1BB3546C978}"/>
            </a:ext>
          </a:extLst>
        </xdr:cNvPr>
        <xdr:cNvSpPr/>
      </xdr:nvSpPr>
      <xdr:spPr>
        <a:xfrm>
          <a:off x="13805074" y="833762"/>
          <a:ext cx="1853396" cy="57684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178BC87-1C94-455C-9CA4-BEBBD87A815B}" type="TxLink">
            <a:rPr lang="en-US" sz="1800" b="1" i="0" u="none" strike="noStrike">
              <a:solidFill>
                <a:srgbClr val="0070C0"/>
              </a:solidFill>
              <a:latin typeface="Calibri"/>
              <a:cs typeface="Calibri"/>
            </a:rPr>
            <a:pPr algn="ctr"/>
            <a:t>187</a:t>
          </a:fld>
          <a:endParaRPr lang="en-US" sz="1800" b="1">
            <a:solidFill>
              <a:srgbClr val="0070C0"/>
            </a:solidFill>
          </a:endParaRPr>
        </a:p>
      </xdr:txBody>
    </xdr:sp>
    <xdr:clientData/>
  </xdr:twoCellAnchor>
  <xdr:twoCellAnchor>
    <xdr:from>
      <xdr:col>19</xdr:col>
      <xdr:colOff>216944</xdr:colOff>
      <xdr:row>23</xdr:row>
      <xdr:rowOff>68209</xdr:rowOff>
    </xdr:from>
    <xdr:to>
      <xdr:col>25</xdr:col>
      <xdr:colOff>444987</xdr:colOff>
      <xdr:row>34</xdr:row>
      <xdr:rowOff>43307</xdr:rowOff>
    </xdr:to>
    <xdr:graphicFrame macro="">
      <xdr:nvGraphicFramePr>
        <xdr:cNvPr id="16" name="Chart 16">
          <a:extLst>
            <a:ext uri="{FF2B5EF4-FFF2-40B4-BE49-F238E27FC236}">
              <a16:creationId xmlns:a16="http://schemas.microsoft.com/office/drawing/2014/main" id="{0D2825E2-5669-4F28-BB8C-9C1B9D878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211667</xdr:colOff>
      <xdr:row>9</xdr:row>
      <xdr:rowOff>92029</xdr:rowOff>
    </xdr:from>
    <xdr:to>
      <xdr:col>6</xdr:col>
      <xdr:colOff>230072</xdr:colOff>
      <xdr:row>10</xdr:row>
      <xdr:rowOff>174856</xdr:rowOff>
    </xdr:to>
    <xdr:sp macro="" textlink="">
      <xdr:nvSpPr>
        <xdr:cNvPr id="39" name="Rectangle: Top Corners Rounded 38">
          <a:extLst>
            <a:ext uri="{FF2B5EF4-FFF2-40B4-BE49-F238E27FC236}">
              <a16:creationId xmlns:a16="http://schemas.microsoft.com/office/drawing/2014/main" id="{B593A24D-B176-4327-A0BA-CC48DF87E001}"/>
            </a:ext>
          </a:extLst>
        </xdr:cNvPr>
        <xdr:cNvSpPr/>
      </xdr:nvSpPr>
      <xdr:spPr>
        <a:xfrm>
          <a:off x="2033841" y="828261"/>
          <a:ext cx="1840579" cy="266885"/>
        </a:xfrm>
        <a:prstGeom prst="round2Same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446893</xdr:colOff>
      <xdr:row>9</xdr:row>
      <xdr:rowOff>69575</xdr:rowOff>
    </xdr:from>
    <xdr:to>
      <xdr:col>10</xdr:col>
      <xdr:colOff>524565</xdr:colOff>
      <xdr:row>10</xdr:row>
      <xdr:rowOff>147247</xdr:rowOff>
    </xdr:to>
    <xdr:sp macro="" textlink="">
      <xdr:nvSpPr>
        <xdr:cNvPr id="40" name="Rectangle: Top Corners Rounded 39">
          <a:extLst>
            <a:ext uri="{FF2B5EF4-FFF2-40B4-BE49-F238E27FC236}">
              <a16:creationId xmlns:a16="http://schemas.microsoft.com/office/drawing/2014/main" id="{10F8BF5E-8AEF-4ADA-B427-95A4BED47F62}"/>
            </a:ext>
          </a:extLst>
        </xdr:cNvPr>
        <xdr:cNvSpPr/>
      </xdr:nvSpPr>
      <xdr:spPr>
        <a:xfrm>
          <a:off x="4698632" y="805807"/>
          <a:ext cx="1899846" cy="261730"/>
        </a:xfrm>
        <a:prstGeom prst="round2Same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221973</xdr:colOff>
      <xdr:row>9</xdr:row>
      <xdr:rowOff>65525</xdr:rowOff>
    </xdr:from>
    <xdr:to>
      <xdr:col>15</xdr:col>
      <xdr:colOff>450942</xdr:colOff>
      <xdr:row>10</xdr:row>
      <xdr:rowOff>156449</xdr:rowOff>
    </xdr:to>
    <xdr:sp macro="" textlink="">
      <xdr:nvSpPr>
        <xdr:cNvPr id="41" name="Rectangle: Top Corners Rounded 40">
          <a:extLst>
            <a:ext uri="{FF2B5EF4-FFF2-40B4-BE49-F238E27FC236}">
              <a16:creationId xmlns:a16="http://schemas.microsoft.com/office/drawing/2014/main" id="{F6C4FDA3-8466-4E8B-8B4C-00350B15AE71}"/>
            </a:ext>
          </a:extLst>
        </xdr:cNvPr>
        <xdr:cNvSpPr/>
      </xdr:nvSpPr>
      <xdr:spPr>
        <a:xfrm>
          <a:off x="7510669" y="801757"/>
          <a:ext cx="2051143" cy="274982"/>
        </a:xfrm>
        <a:prstGeom prst="round2Same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411183</xdr:colOff>
      <xdr:row>9</xdr:row>
      <xdr:rowOff>61475</xdr:rowOff>
    </xdr:from>
    <xdr:to>
      <xdr:col>20</xdr:col>
      <xdr:colOff>539502</xdr:colOff>
      <xdr:row>10</xdr:row>
      <xdr:rowOff>147246</xdr:rowOff>
    </xdr:to>
    <xdr:sp macro="" textlink="">
      <xdr:nvSpPr>
        <xdr:cNvPr id="42" name="Rectangle: Top Corners Rounded 41">
          <a:extLst>
            <a:ext uri="{FF2B5EF4-FFF2-40B4-BE49-F238E27FC236}">
              <a16:creationId xmlns:a16="http://schemas.microsoft.com/office/drawing/2014/main" id="{236B74EF-8BCC-47ED-AA7E-604D0118D74D}"/>
            </a:ext>
          </a:extLst>
        </xdr:cNvPr>
        <xdr:cNvSpPr/>
      </xdr:nvSpPr>
      <xdr:spPr>
        <a:xfrm>
          <a:off x="10736835" y="797707"/>
          <a:ext cx="1950493" cy="269829"/>
        </a:xfrm>
        <a:prstGeom prst="round2Same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378931</xdr:colOff>
      <xdr:row>9</xdr:row>
      <xdr:rowOff>57426</xdr:rowOff>
    </xdr:from>
    <xdr:to>
      <xdr:col>25</xdr:col>
      <xdr:colOff>410079</xdr:colOff>
      <xdr:row>10</xdr:row>
      <xdr:rowOff>143197</xdr:rowOff>
    </xdr:to>
    <xdr:sp macro="" textlink="">
      <xdr:nvSpPr>
        <xdr:cNvPr id="43" name="Rectangle: Top Corners Rounded 42">
          <a:extLst>
            <a:ext uri="{FF2B5EF4-FFF2-40B4-BE49-F238E27FC236}">
              <a16:creationId xmlns:a16="http://schemas.microsoft.com/office/drawing/2014/main" id="{A7BD0AF8-13FA-45FC-81DE-86C49D23A73D}"/>
            </a:ext>
          </a:extLst>
        </xdr:cNvPr>
        <xdr:cNvSpPr/>
      </xdr:nvSpPr>
      <xdr:spPr>
        <a:xfrm>
          <a:off x="13741540" y="793658"/>
          <a:ext cx="1853322" cy="269829"/>
        </a:xfrm>
        <a:prstGeom prst="round2Same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230072</xdr:colOff>
      <xdr:row>9</xdr:row>
      <xdr:rowOff>147246</xdr:rowOff>
    </xdr:from>
    <xdr:to>
      <xdr:col>6</xdr:col>
      <xdr:colOff>220869</xdr:colOff>
      <xdr:row>10</xdr:row>
      <xdr:rowOff>165652</xdr:rowOff>
    </xdr:to>
    <xdr:sp macro="" textlink="">
      <xdr:nvSpPr>
        <xdr:cNvPr id="44" name="TextBox 43">
          <a:extLst>
            <a:ext uri="{FF2B5EF4-FFF2-40B4-BE49-F238E27FC236}">
              <a16:creationId xmlns:a16="http://schemas.microsoft.com/office/drawing/2014/main" id="{5E92597B-6FE4-4A60-96DB-EC5AE3E0653C}"/>
            </a:ext>
          </a:extLst>
        </xdr:cNvPr>
        <xdr:cNvSpPr txBox="1"/>
      </xdr:nvSpPr>
      <xdr:spPr>
        <a:xfrm rot="10800000" flipV="1">
          <a:off x="2059875" y="882509"/>
          <a:ext cx="1820599" cy="202222"/>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SUM OF PROFIT</a:t>
          </a:r>
        </a:p>
      </xdr:txBody>
    </xdr:sp>
    <xdr:clientData/>
  </xdr:twoCellAnchor>
  <xdr:twoCellAnchor>
    <xdr:from>
      <xdr:col>7</xdr:col>
      <xdr:colOff>465298</xdr:colOff>
      <xdr:row>9</xdr:row>
      <xdr:rowOff>119638</xdr:rowOff>
    </xdr:from>
    <xdr:to>
      <xdr:col>10</xdr:col>
      <xdr:colOff>533767</xdr:colOff>
      <xdr:row>10</xdr:row>
      <xdr:rowOff>143198</xdr:rowOff>
    </xdr:to>
    <xdr:sp macro="" textlink="">
      <xdr:nvSpPr>
        <xdr:cNvPr id="46" name="TextBox 45">
          <a:extLst>
            <a:ext uri="{FF2B5EF4-FFF2-40B4-BE49-F238E27FC236}">
              <a16:creationId xmlns:a16="http://schemas.microsoft.com/office/drawing/2014/main" id="{17A24324-F1BF-4969-B809-2A832CF3586C}"/>
            </a:ext>
          </a:extLst>
        </xdr:cNvPr>
        <xdr:cNvSpPr txBox="1"/>
      </xdr:nvSpPr>
      <xdr:spPr>
        <a:xfrm rot="10800000" flipV="1">
          <a:off x="4734837" y="854901"/>
          <a:ext cx="1898272" cy="207376"/>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SUM OF REVENUE</a:t>
          </a:r>
        </a:p>
      </xdr:txBody>
    </xdr:sp>
    <xdr:clientData/>
  </xdr:twoCellAnchor>
  <xdr:twoCellAnchor>
    <xdr:from>
      <xdr:col>12</xdr:col>
      <xdr:colOff>248477</xdr:colOff>
      <xdr:row>9</xdr:row>
      <xdr:rowOff>92029</xdr:rowOff>
    </xdr:from>
    <xdr:to>
      <xdr:col>15</xdr:col>
      <xdr:colOff>423332</xdr:colOff>
      <xdr:row>10</xdr:row>
      <xdr:rowOff>147247</xdr:rowOff>
    </xdr:to>
    <xdr:sp macro="" textlink="">
      <xdr:nvSpPr>
        <xdr:cNvPr id="47" name="TextBox 46">
          <a:extLst>
            <a:ext uri="{FF2B5EF4-FFF2-40B4-BE49-F238E27FC236}">
              <a16:creationId xmlns:a16="http://schemas.microsoft.com/office/drawing/2014/main" id="{0B743C1E-E024-4E72-A99C-E486A7F08A8E}"/>
            </a:ext>
          </a:extLst>
        </xdr:cNvPr>
        <xdr:cNvSpPr txBox="1"/>
      </xdr:nvSpPr>
      <xdr:spPr>
        <a:xfrm rot="10800000" flipV="1">
          <a:off x="7567688" y="827292"/>
          <a:ext cx="2004657" cy="239034"/>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SUM OF QUANTITY</a:t>
          </a:r>
        </a:p>
      </xdr:txBody>
    </xdr:sp>
    <xdr:clientData/>
  </xdr:twoCellAnchor>
  <xdr:twoCellAnchor>
    <xdr:from>
      <xdr:col>17</xdr:col>
      <xdr:colOff>438791</xdr:colOff>
      <xdr:row>9</xdr:row>
      <xdr:rowOff>82826</xdr:rowOff>
    </xdr:from>
    <xdr:to>
      <xdr:col>20</xdr:col>
      <xdr:colOff>533767</xdr:colOff>
      <xdr:row>10</xdr:row>
      <xdr:rowOff>144301</xdr:rowOff>
    </xdr:to>
    <xdr:sp macro="" textlink="">
      <xdr:nvSpPr>
        <xdr:cNvPr id="48" name="TextBox 47">
          <a:extLst>
            <a:ext uri="{FF2B5EF4-FFF2-40B4-BE49-F238E27FC236}">
              <a16:creationId xmlns:a16="http://schemas.microsoft.com/office/drawing/2014/main" id="{0C86E6C5-95B2-41C8-9B22-E9D3975A4523}"/>
            </a:ext>
          </a:extLst>
        </xdr:cNvPr>
        <xdr:cNvSpPr txBox="1"/>
      </xdr:nvSpPr>
      <xdr:spPr>
        <a:xfrm rot="10800000" flipV="1">
          <a:off x="10807673" y="818089"/>
          <a:ext cx="1924778" cy="245291"/>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AVERAGE</a:t>
          </a:r>
          <a:r>
            <a:rPr lang="en-US" sz="1400" b="1" baseline="0">
              <a:solidFill>
                <a:schemeClr val="bg1"/>
              </a:solidFill>
            </a:rPr>
            <a:t> DISCOUNT</a:t>
          </a:r>
          <a:endParaRPr lang="en-US" sz="1400" b="1">
            <a:solidFill>
              <a:schemeClr val="bg1"/>
            </a:solidFill>
          </a:endParaRPr>
        </a:p>
      </xdr:txBody>
    </xdr:sp>
    <xdr:clientData/>
  </xdr:twoCellAnchor>
  <xdr:twoCellAnchor>
    <xdr:from>
      <xdr:col>22</xdr:col>
      <xdr:colOff>406538</xdr:colOff>
      <xdr:row>9</xdr:row>
      <xdr:rowOff>110435</xdr:rowOff>
    </xdr:from>
    <xdr:to>
      <xdr:col>25</xdr:col>
      <xdr:colOff>397335</xdr:colOff>
      <xdr:row>10</xdr:row>
      <xdr:rowOff>149455</xdr:rowOff>
    </xdr:to>
    <xdr:sp macro="" textlink="">
      <xdr:nvSpPr>
        <xdr:cNvPr id="49" name="TextBox 48">
          <a:extLst>
            <a:ext uri="{FF2B5EF4-FFF2-40B4-BE49-F238E27FC236}">
              <a16:creationId xmlns:a16="http://schemas.microsoft.com/office/drawing/2014/main" id="{A314816D-B5C1-4EDE-B2D4-19973FBB96A9}"/>
            </a:ext>
          </a:extLst>
        </xdr:cNvPr>
        <xdr:cNvSpPr txBox="1"/>
      </xdr:nvSpPr>
      <xdr:spPr>
        <a:xfrm rot="10800000" flipV="1">
          <a:off x="13825091" y="845698"/>
          <a:ext cx="1820599" cy="222836"/>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COUNT</a:t>
          </a:r>
          <a:r>
            <a:rPr lang="en-US" sz="1400" b="1" baseline="0">
              <a:solidFill>
                <a:schemeClr val="bg1"/>
              </a:solidFill>
            </a:rPr>
            <a:t> OF PRODUCT</a:t>
          </a:r>
          <a:endParaRPr lang="en-US" sz="14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1134258" backgroundQuery="1" createdVersion="7" refreshedVersion="7" minRefreshableVersion="3" recordCount="0" supportSubquery="1" supportAdvancedDrill="1" xr:uid="{D1F7A7B9-5B1E-44EB-BB5A-B164FA8DAB60}">
  <cacheSource type="external" connectionId="1"/>
  <cacheFields count="4">
    <cacheField name="[Table1].[product].[product]" caption="product" numFmtId="0" hierarchy="1" level="1">
      <sharedItems count="20">
        <s v="Bookshelf"/>
        <s v="Cabinet"/>
        <s v="Chair"/>
        <s v="Desk"/>
        <s v="Headphones"/>
        <s v="Keyboard"/>
        <s v="Lamp"/>
        <s v="Laptop"/>
        <s v="Monitor"/>
        <s v="Mouse Pad"/>
        <s v="Office Chair"/>
        <s v="Printer"/>
        <s v="Smartphone"/>
        <s v="Smartwatch"/>
        <s v="Sofa"/>
        <s v="Speaker"/>
        <s v="Table"/>
        <s v="Tablet"/>
        <s v="Webcam"/>
        <s v="Wireless Mouse"/>
      </sharedItems>
    </cacheField>
    <cacheField name="[Measures].[Average of profit margin]" caption="Average of profit margin" numFmtId="0" hierarchy="14" level="32767"/>
    <cacheField name="[Table1].[discount].[discount]" caption="discount" numFmtId="0" hierarchy="7" level="1">
      <sharedItems containsSemiMixedTypes="0" containsString="0" containsNumber="1" minValue="0.05" maxValue="0.2" count="6">
        <n v="0.05"/>
        <n v="0.08"/>
        <n v="0.1"/>
        <n v="0.12"/>
        <n v="0.15"/>
        <n v="0.2"/>
      </sharedItems>
    </cacheField>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revenue]" caption="revenue" attribute="1" defaultMemberUniqueName="[Table1].[revenue].[All]" allUniqueName="[Table1].[revenue].[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fieldsUsage count="2">
        <fieldUsage x="-1"/>
        <fieldUsage x="2"/>
      </fieldsUsage>
    </cacheHierarchy>
    <cacheHierarchy uniqueName="[Table1].[profit margin]" caption="profit margin" attribute="1" defaultMemberUniqueName="[Table1].[profit margin].[All]" allUniqueName="[Table1].[profit margin].[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159722" backgroundQuery="1" createdVersion="7" refreshedVersion="7" minRefreshableVersion="3" recordCount="0" supportSubquery="1" supportAdvancedDrill="1" xr:uid="{3AADC323-72F9-4F54-8BC6-F44D35965C25}">
  <cacheSource type="external" connectionId="1"/>
  <cacheFields count="2">
    <cacheField name="[Measures].[Sum of profit]" caption="Sum of profit" numFmtId="0" hierarchy="11" level="32767"/>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revenue]" caption="revenue" attribute="1" defaultMemberUniqueName="[Table1].[revenue].[All]" allUniqueName="[Table1].[revenue].[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1944443" backgroundQuery="1" createdVersion="7" refreshedVersion="7" minRefreshableVersion="3" recordCount="0" supportSubquery="1" supportAdvancedDrill="1" xr:uid="{02CEB97A-0F86-4B7F-9E07-4EF10C2D53C6}">
  <cacheSource type="external" connectionId="1"/>
  <cacheFields count="2">
    <cacheField name="[Measures].[Sum of revenue]" caption="Sum of revenue" numFmtId="0" hierarchy="16" level="32767"/>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2291666" backgroundQuery="1" createdVersion="7" refreshedVersion="7" minRefreshableVersion="3" recordCount="0" supportSubquery="1" supportAdvancedDrill="1" xr:uid="{DFDA8D6D-E1A5-4338-BF9F-D06564F28652}">
  <cacheSource type="external" connectionId="1"/>
  <cacheFields count="2">
    <cacheField name="[Measures].[Sum of quantity]" caption="Sum of quantity" numFmtId="0" hierarchy="15" level="32767"/>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2638889" backgroundQuery="1" createdVersion="7" refreshedVersion="7" minRefreshableVersion="3" recordCount="0" supportSubquery="1" supportAdvancedDrill="1" xr:uid="{5AA293A9-449B-43F2-BCCE-B76B54B70398}">
  <cacheSource type="external" connectionId="1"/>
  <cacheFields count="2">
    <cacheField name="[Measures].[Average of discount]" caption="Average of discount" numFmtId="0" hierarchy="18" level="32767"/>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321759" backgroundQuery="1" createdVersion="7" refreshedVersion="7" minRefreshableVersion="3" recordCount="0" supportSubquery="1" supportAdvancedDrill="1" xr:uid="{73E15073-F978-427D-872B-7189EFD50F09}">
  <cacheSource type="external" connectionId="1"/>
  <cacheFields count="3">
    <cacheField name="[Measures].[Sum of profit]" caption="Sum of profit" numFmtId="0" hierarchy="11" level="32767"/>
    <cacheField name="[Table1].[category].[category]" caption="category" numFmtId="0" hierarchy="2" level="1">
      <sharedItems count="2">
        <s v="Electronics"/>
        <s v="Furniture"/>
      </sharedItems>
    </cacheField>
    <cacheField name="[Table1].[year].[year]" caption="year" numFmtId="0" hierarchy="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3912036" backgroundQuery="1" createdVersion="7" refreshedVersion="7" minRefreshableVersion="3" recordCount="0" supportSubquery="1" supportAdvancedDrill="1" xr:uid="{3E48D2C3-C12F-48E4-B30F-1593F0B10998}">
  <cacheSource type="external" connectionId="1"/>
  <cacheFields count="4">
    <cacheField name="[Measures].[Sum of quantity]" caption="Sum of quantity" numFmtId="0" hierarchy="15" level="32767"/>
    <cacheField name="[Measures].[Sum of profit]" caption="Sum of profit" numFmtId="0" hierarchy="11" level="32767"/>
    <cacheField name="[Table1].[product].[product]" caption="product" numFmtId="0" hierarchy="1" level="1">
      <sharedItems count="20">
        <s v="Bookshelf"/>
        <s v="Cabinet"/>
        <s v="Chair"/>
        <s v="Desk"/>
        <s v="Headphones"/>
        <s v="Keyboard"/>
        <s v="Lamp"/>
        <s v="Laptop"/>
        <s v="Monitor"/>
        <s v="Mouse Pad"/>
        <s v="Office Chair"/>
        <s v="Printer"/>
        <s v="Smartphone"/>
        <s v="Smartwatch"/>
        <s v="Sofa"/>
        <s v="Speaker"/>
        <s v="Table"/>
        <s v="Tablet"/>
        <s v="Webcam"/>
        <s v="Wireless Mouse"/>
      </sharedItems>
    </cacheField>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4606483" backgroundQuery="1" createdVersion="7" refreshedVersion="7" minRefreshableVersion="3" recordCount="0" supportSubquery="1" supportAdvancedDrill="1" xr:uid="{92A0E318-1DBC-4DA3-928C-06C7D257DAFB}">
  <cacheSource type="external" connectionId="1"/>
  <cacheFields count="4">
    <cacheField name="[Table1].[product].[product]" caption="product" numFmtId="0" hierarchy="1" level="1">
      <sharedItems count="20">
        <s v="Bookshelf"/>
        <s v="Cabinet"/>
        <s v="Chair"/>
        <s v="Desk"/>
        <s v="Headphones"/>
        <s v="Keyboard"/>
        <s v="Lamp"/>
        <s v="Laptop"/>
        <s v="Monitor"/>
        <s v="Mouse Pad"/>
        <s v="Office Chair"/>
        <s v="Printer"/>
        <s v="Smartphone"/>
        <s v="Smartwatch"/>
        <s v="Sofa"/>
        <s v="Speaker"/>
        <s v="Table"/>
        <s v="Tablet"/>
        <s v="Webcam"/>
        <s v="Wireless Mouse"/>
      </sharedItems>
    </cacheField>
    <cacheField name="[Measures].[Sum of revenue]" caption="Sum of revenue" numFmtId="0" hierarchy="16" level="32767"/>
    <cacheField name="[Table1].[year].[year]" caption="year" numFmtId="0" hierarchy="3"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5300929" backgroundQuery="1" createdVersion="7" refreshedVersion="7" minRefreshableVersion="3" recordCount="0" supportSubquery="1" supportAdvancedDrill="1" xr:uid="{03F859CD-ADE6-404C-88C7-D994BC5BB4B7}">
  <cacheSource type="external" connectionId="1"/>
  <cacheFields count="4">
    <cacheField name="[Table1].[category].[category]" caption="category" numFmtId="0" hierarchy="2" level="1">
      <sharedItems count="2">
        <s v="Electronics"/>
        <s v="Furniture"/>
      </sharedItems>
    </cacheField>
    <cacheField name="[Measures].[Sum of profit]" caption="Sum of profit" numFmtId="0" hierarchy="11" level="32767"/>
    <cacheField name="[Table1].[year].[year]" caption="year" numFmtId="0" hierarchy="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Measures].[Average of discount]" caption="Average of discount" numFmtId="0" hierarchy="18" level="32767"/>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5763891" backgroundQuery="1" createdVersion="7" refreshedVersion="7" minRefreshableVersion="3" recordCount="0" supportSubquery="1" supportAdvancedDrill="1" xr:uid="{C54383EC-2064-497A-AA4E-A9E48E7D591B}">
  <cacheSource type="external" connectionId="1"/>
  <cacheFields count="3">
    <cacheField name="[Measures].[Sum of revenue]" caption="Sum of revenue" numFmtId="0" hierarchy="16" level="32767"/>
    <cacheField name="[Table1].[category].[category]" caption="category" numFmtId="0" hierarchy="2" level="1">
      <sharedItems count="2">
        <s v="Electronics"/>
        <s v="Furniture"/>
      </sharedItems>
    </cacheField>
    <cacheField name="[Table1].[customer_name].[customer_name]" caption="customer_name" numFmtId="0" level="1">
      <sharedItems count="10">
        <s v="Arlo Dean"/>
        <s v="Atlas Cruz"/>
        <s v="Emmett Reid"/>
        <s v="Knox Perry"/>
        <s v="Lila Hart"/>
        <s v="Lyra Wells"/>
        <s v="Lyric James"/>
        <s v="Reid Burke"/>
        <s v="Rory Hunt"/>
        <s v="Theo Dunn"/>
      </sharedItems>
    </cacheField>
  </cacheFields>
  <cacheHierarchies count="2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6226853" backgroundQuery="1" createdVersion="7" refreshedVersion="7" minRefreshableVersion="3" recordCount="0" supportSubquery="1" supportAdvancedDrill="1" xr:uid="{B8206A02-078A-4A2E-AB0E-951F4AA2CE30}">
  <cacheSource type="external" connectionId="1"/>
  <cacheFields count="2">
    <cacheField name="[Measures].[Count of product]" caption="Count of product" numFmtId="0" hierarchy="19" level="32767"/>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4.443788657409" backgroundQuery="1" createdVersion="7" refreshedVersion="7" minRefreshableVersion="3" recordCount="0" supportSubquery="1" supportAdvancedDrill="1" xr:uid="{0E42994B-F88A-4C4B-8CCD-C9CAF39A8DE4}">
  <cacheSource type="external" connectionId="1"/>
  <cacheFields count="4">
    <cacheField name="[Table1].[product].[product]" caption="product" numFmtId="0" hierarchy="1" level="1">
      <sharedItems count="5">
        <s v="Bookshelf"/>
        <s v="Cabinet"/>
        <s v="Chair"/>
        <s v="Headphones"/>
        <s v="Laptop"/>
      </sharedItems>
    </cacheField>
    <cacheField name="[Table1].[customer_name].[customer_name]" caption="customer_name" numFmtId="0" level="1">
      <sharedItems count="5">
        <s v="Aubrey Hughes"/>
        <s v="Carter Parker"/>
        <s v="Asher Long"/>
        <s v="Finn Cole"/>
        <s v="Theo Dunn"/>
      </sharedItems>
    </cacheField>
    <cacheField name="[Measures].[Count of product]" caption="Count of product" numFmtId="0" hierarchy="19" level="32767"/>
    <cacheField name="[Table1].[category].[category]" caption="category" numFmtId="0" hierarchy="2" level="1">
      <sharedItems containsSemiMixedTypes="0" containsNonDate="0" containsString="0"/>
    </cacheField>
  </cacheFields>
  <cacheHierarchies count="2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1.573225231485" backgroundQuery="1" createdVersion="3" refreshedVersion="7" minRefreshableVersion="3" recordCount="0" supportSubquery="1" supportAdvancedDrill="1" xr:uid="{2C960239-A821-4350-B4E5-454258CFC8ED}">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4"/>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3"/>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8"/>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7"/>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9417880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467498-61FA-4A31-A50D-7CCBB3B58E78}" name="PivotTable8" cacheId="23"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2">
  <location ref="K36:N48" firstHeaderRow="1" firstDataRow="2" firstDataCol="1"/>
  <pivotFields count="3">
    <pivotField dataField="1" compact="0" outline="0" subtotalTop="0" showAll="0" defaultSubtotal="0"/>
    <pivotField axis="axisCol" compact="0" allDrilled="1" outline="0" subtotalTop="0" showAll="0" dataSourceSort="1" defaultSubtotal="0" defaultAttributeDrillState="1">
      <items count="2">
        <item x="0"/>
        <item x="1"/>
      </items>
    </pivotField>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9"/>
    </i>
    <i>
      <x/>
    </i>
    <i>
      <x v="1"/>
    </i>
    <i>
      <x v="7"/>
    </i>
    <i>
      <x v="4"/>
    </i>
    <i>
      <x v="2"/>
    </i>
    <i>
      <x v="6"/>
    </i>
    <i>
      <x v="5"/>
    </i>
    <i>
      <x v="8"/>
    </i>
    <i>
      <x v="3"/>
    </i>
    <i t="grand">
      <x/>
    </i>
  </rowItems>
  <colFields count="1">
    <field x="1"/>
  </colFields>
  <colItems count="3">
    <i>
      <x/>
    </i>
    <i>
      <x v="1"/>
    </i>
    <i t="grand">
      <x/>
    </i>
  </colItems>
  <dataFields count="1">
    <dataField name="Sum of revenue" fld="0" baseField="0" baseItem="0" numFmtId="165"/>
  </dataFields>
  <formats count="1">
    <format dxfId="0">
      <pivotArea outline="0" collapsedLevelsAreSubtotals="1" fieldPosition="0"/>
    </format>
  </formats>
  <chartFormats count="2">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6">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9C3932-AAF0-405A-B325-B41008CA01F4}" name="PivotTable6" cacheId="22"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6">
  <location ref="U1:X12" firstHeaderRow="0" firstDataRow="1" firstDataCol="2"/>
  <pivotFields count="4">
    <pivotField axis="axisRow" compact="0" allDrilled="1" outline="0" subtotalTop="0" showAll="0" dataSourceSort="1" defaultAttributeDrillState="1">
      <items count="3">
        <item x="0"/>
        <item x="1"/>
        <item t="default"/>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2">
    <field x="0"/>
    <field x="2"/>
  </rowFields>
  <rowItems count="11">
    <i>
      <x/>
      <x/>
    </i>
    <i r="1">
      <x v="1"/>
    </i>
    <i r="1">
      <x v="2"/>
    </i>
    <i r="1">
      <x v="3"/>
    </i>
    <i t="default">
      <x/>
    </i>
    <i>
      <x v="1"/>
      <x/>
    </i>
    <i r="1">
      <x v="1"/>
    </i>
    <i r="1">
      <x v="2"/>
    </i>
    <i r="1">
      <x v="3"/>
    </i>
    <i t="default">
      <x v="1"/>
    </i>
    <i t="grand">
      <x/>
    </i>
  </rowItems>
  <colFields count="1">
    <field x="-2"/>
  </colFields>
  <colItems count="2">
    <i>
      <x/>
    </i>
    <i i="1">
      <x v="1"/>
    </i>
  </colItems>
  <dataFields count="2">
    <dataField name="Average of discount" fld="3" subtotal="average" baseField="2" baseItem="0" numFmtId="10"/>
    <dataField name="Sum of profit" fld="1" baseField="0" baseItem="0" numFmtId="164"/>
  </dataFields>
  <formats count="2">
    <format dxfId="2">
      <pivotArea outline="0" fieldPosition="0">
        <references count="1">
          <reference field="4294967294" count="1" selected="0">
            <x v="1"/>
          </reference>
        </references>
      </pivotArea>
    </format>
    <format dxfId="1">
      <pivotArea outline="0" fieldPosition="0">
        <references count="1">
          <reference field="4294967294" count="1" selected="0">
            <x v="0"/>
          </reference>
        </references>
      </pivotArea>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FBD037-FB7D-4278-8F40-72300372E099}" name="PivotTable2" cacheId="19"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gridDropZones="1" multipleFieldFilters="0" chartFormat="2">
  <location ref="A1:D7" firstHeaderRow="1" firstDataRow="2" firstDataCol="1"/>
  <pivotFields count="3">
    <pivotField dataField="1" compact="0" outline="0" subtotalTop="0" showAll="0" defaultSubtotal="0"/>
    <pivotField axis="axisCol"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1"/>
  </colFields>
  <colItems count="3">
    <i>
      <x/>
    </i>
    <i>
      <x v="1"/>
    </i>
    <i t="grand">
      <x/>
    </i>
  </colItems>
  <dataFields count="1">
    <dataField name="Sum of profit" fld="0" baseField="0" baseItem="0" numFmtId="164"/>
  </dataFields>
  <formats count="1">
    <format dxfId="3">
      <pivotArea outline="0" collapsedLevelsAreSubtotals="1" fieldPosition="0"/>
    </format>
  </formats>
  <chartFormats count="2">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7A0645-C510-4B3A-9602-820A2D66D051}" name="PivotTable12"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U27:U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1">
    <format dxfId="4">
      <pivotArea outline="0" collapsedLevelsAreSubtotals="1" fieldPosition="0"/>
    </format>
  </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F70F64-4E9B-4F79-A5FC-F5E1B88D3CB6}" name="PivotTable14" cacheId="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U33:U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10"/>
  </dataFields>
  <formats count="1">
    <format dxfId="5">
      <pivotArea outline="0" collapsedLevelsAreSubtotals="1" fieldPosition="0"/>
    </format>
  </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E4FEAA-5469-4187-8582-0737F54D06B6}" name="PivotTable4" cacheId="20"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3">
  <location ref="A55:C76"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compact="0" allDrilled="1" outline="0"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quantity" fld="0" baseField="0" baseItem="0"/>
    <dataField name="Sum of profit" fld="1" baseField="0" baseItem="0" numFmtId="164"/>
  </dataFields>
  <formats count="1">
    <format dxfId="6">
      <pivotArea outline="0" fieldPosition="0">
        <references count="1">
          <reference field="4294967294" count="1" selected="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646BF5-A60D-4B2D-9892-077172E0E2FB}" name="PivotTable16" cacheId="25"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2">
  <location ref="AB1:AD7" firstHeaderRow="1" firstDataRow="1" firstDataCol="2"/>
  <pivotFields count="4">
    <pivotField axis="axisRow" compact="0" allDrilled="1" outline="0" subtotalTop="0" showAll="0" measureFilter="1" defaultSubtotal="0" defaultAttributeDrillState="1">
      <items count="5">
        <item x="2"/>
        <item x="0"/>
        <item x="1"/>
        <item x="3"/>
        <item x="4"/>
      </items>
    </pivotField>
    <pivotField axis="axisRow" compact="0" allDrilled="1" outline="0" subtotalTop="0" showAll="0" measureFilter="1" defaultSubtotal="0" defaultAttributeDrillState="1">
      <items count="5">
        <item x="2"/>
        <item x="0"/>
        <item x="1"/>
        <item x="3"/>
        <item x="4"/>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6">
    <i>
      <x/>
      <x/>
    </i>
    <i>
      <x v="1"/>
      <x v="1"/>
    </i>
    <i>
      <x v="2"/>
      <x v="2"/>
    </i>
    <i>
      <x v="3"/>
      <x v="3"/>
    </i>
    <i>
      <x v="4"/>
      <x v="4"/>
    </i>
    <i t="grand">
      <x/>
    </i>
  </rowItems>
  <colItems count="1">
    <i/>
  </colItems>
  <dataFields count="1">
    <dataField name="Count of product" fld="2" subtotal="count" baseField="0" baseItem="0"/>
  </dataFields>
  <chartFormats count="1">
    <chartFormat chart="1" format="2" series="1">
      <pivotArea type="data" outline="0" fieldPosition="0">
        <references count="1">
          <reference field="4294967294" count="1" selected="0">
            <x v="0"/>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19">
      <autoFilter ref="A1">
        <filterColumn colId="0">
          <top10 val="1" filterVal="1"/>
        </filterColumn>
      </autoFilter>
    </filter>
    <filter fld="0" type="count" evalOrder="1" id="2" iMeasureHier="19">
      <autoFilter ref="A1">
        <filterColumn colId="0">
          <top10 val="5" filterVal="5"/>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2BB1AE-2D69-4655-96B2-4A523AA3AB47}" name="PivotTable15" cacheId="2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U41:U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duct" fld="0" subtotal="count" baseField="0" baseItem="0"/>
  </dataField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383806-5CA5-4139-933E-595EF99C2EFB}" name="PivotTable13" cacheId="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U30:U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658846-5CB4-4100-A372-54D1F864B6EF}" name="PivotTable11" cacheId="15"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location ref="U24:U25"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Sum of profit" fld="0" baseField="0" baseItem="0" numFmtId="164"/>
  </dataFields>
  <formats count="1">
    <format dxfId="7">
      <pivotArea outline="0" collapsedLevelsAreSubtotals="1" fieldPosition="0"/>
    </format>
  </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432D0B-AEE5-4AD9-97CC-58AD109384B1}" name="PivotTable5" cacheId="21"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2">
  <location ref="A17:B38" firstHeaderRow="1" firstDataRow="1" firstDataCol="1" rowPageCount="1" colPageCount="1"/>
  <pivotFields count="4">
    <pivotField axis="axisRow" compact="0" allDrilled="1" outline="0" subtotalTop="0" showAll="0" defaultSubtotal="0" defaultAttributeDrillState="1">
      <items count="20">
        <item x="2"/>
        <item x="3"/>
        <item x="6"/>
        <item x="10"/>
        <item x="14"/>
        <item x="0"/>
        <item x="1"/>
        <item x="16"/>
        <item x="4"/>
        <item x="5"/>
        <item x="7"/>
        <item x="8"/>
        <item x="9"/>
        <item x="11"/>
        <item x="12"/>
        <item x="13"/>
        <item x="15"/>
        <item x="17"/>
        <item x="18"/>
        <item x="19"/>
      </items>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1">
    <pageField fld="2" hier="3" name="[Table1].[year].[All]" cap="All"/>
  </pageFields>
  <dataFields count="1">
    <dataField name="Sum of revenue" fld="1" baseField="0" baseItem="0" numFmtId="165"/>
  </dataFields>
  <formats count="1">
    <format dxfId="8">
      <pivotArea outline="0" fieldPosition="0">
        <references count="1">
          <reference field="4294967294" count="1" selected="0">
            <x v="0"/>
          </reference>
        </references>
      </pivotArea>
    </format>
  </formats>
  <chartFormats count="1">
    <chartFormat chart="1" format="3" series="1">
      <pivotArea type="data" outline="0" fieldPosition="0">
        <references count="1">
          <reference field="4294967294" count="1" selected="0">
            <x v="0"/>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D04DF4-46CD-484F-83CA-AF26450FC1A8}" name="PivotTable3" cacheId="14"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3">
  <location ref="I1:P23" firstHeaderRow="1" firstDataRow="2" firstDataCol="1"/>
  <pivotFields count="4">
    <pivotField axis="axisRow"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outline="0" subtotalTop="0" showAll="0" defaultSubtotal="0"/>
    <pivotField axis="axisCol"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7">
    <i>
      <x/>
    </i>
    <i>
      <x v="1"/>
    </i>
    <i>
      <x v="2"/>
    </i>
    <i>
      <x v="3"/>
    </i>
    <i>
      <x v="4"/>
    </i>
    <i>
      <x v="5"/>
    </i>
    <i t="grand">
      <x/>
    </i>
  </colItems>
  <dataFields count="1">
    <dataField name="Average of profit margin" fld="1" subtotal="average" baseField="0" baseItem="0" numFmtId="164"/>
  </dataFields>
  <formats count="2">
    <format dxfId="10">
      <pivotArea dataOnly="0" labelOnly="1" outline="0" fieldPosition="0">
        <references count="1">
          <reference field="2" count="0"/>
        </references>
      </pivotArea>
    </format>
    <format dxfId="9">
      <pivotArea outline="0" collapsedLevelsAreSubtotals="1" fieldPosition="0"/>
    </format>
  </formats>
  <chartFormats count="6">
    <chartFormat chart="1" format="6" series="1">
      <pivotArea type="data" outline="0" fieldPosition="0">
        <references count="2">
          <reference field="4294967294" count="1" selected="0">
            <x v="0"/>
          </reference>
          <reference field="2" count="1" selected="0">
            <x v="0"/>
          </reference>
        </references>
      </pivotArea>
    </chartFormat>
    <chartFormat chart="1" format="7" series="1">
      <pivotArea type="data" outline="0" fieldPosition="0">
        <references count="2">
          <reference field="4294967294" count="1" selected="0">
            <x v="0"/>
          </reference>
          <reference field="2" count="1" selected="0">
            <x v="1"/>
          </reference>
        </references>
      </pivotArea>
    </chartFormat>
    <chartFormat chart="1" format="8" series="1">
      <pivotArea type="data" outline="0" fieldPosition="0">
        <references count="2">
          <reference field="4294967294" count="1" selected="0">
            <x v="0"/>
          </reference>
          <reference field="2" count="1" selected="0">
            <x v="2"/>
          </reference>
        </references>
      </pivotArea>
    </chartFormat>
    <chartFormat chart="1" format="9" series="1">
      <pivotArea type="data" outline="0" fieldPosition="0">
        <references count="2">
          <reference field="4294967294" count="1" selected="0">
            <x v="0"/>
          </reference>
          <reference field="2" count="1" selected="0">
            <x v="3"/>
          </reference>
        </references>
      </pivotArea>
    </chartFormat>
    <chartFormat chart="1" format="10" series="1">
      <pivotArea type="data" outline="0" fieldPosition="0">
        <references count="2">
          <reference field="4294967294" count="1" selected="0">
            <x v="0"/>
          </reference>
          <reference field="2" count="1" selected="0">
            <x v="4"/>
          </reference>
        </references>
      </pivotArea>
    </chartFormat>
    <chartFormat chart="1" format="11" series="1">
      <pivotArea type="data" outline="0" fieldPosition="0">
        <references count="2">
          <reference field="4294967294" count="1" selected="0">
            <x v="0"/>
          </reference>
          <reference field="2" count="1" selected="0">
            <x v="5"/>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margi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 practi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358DC6-AA5C-47C0-A1BA-EE2AD6110497}" sourceName="[Table1].[category]">
  <pivotTables>
    <pivotTable tabId="3" name="PivotTable3"/>
    <pivotTable tabId="3" name="PivotTable11"/>
    <pivotTable tabId="3" name="PivotTable12"/>
    <pivotTable tabId="3" name="PivotTable13"/>
    <pivotTable tabId="3" name="PivotTable14"/>
    <pivotTable tabId="3" name="PivotTable2"/>
    <pivotTable tabId="3" name="PivotTable4"/>
    <pivotTable tabId="3" name="PivotTable5"/>
    <pivotTable tabId="3" name="PivotTable6"/>
    <pivotTable tabId="3" name="PivotTable8"/>
    <pivotTable tabId="3" name="PivotTable15"/>
    <pivotTable tabId="3" name="PivotTable16"/>
  </pivotTables>
  <data>
    <olap pivotCacheId="1941788095">
      <levels count="2">
        <level uniqueName="[Table1].[category].[(All)]" sourceCaption="(All)" count="0"/>
        <level uniqueName="[Table1].[category].[category]" sourceCaption="category" count="2">
          <ranges>
            <range startItem="0">
              <i n="[Table1].[category].&amp;[Electronics]" c="Electronics"/>
              <i n="[Table1].[category].&amp;[Furniture]" c="Furniture"/>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22BE54E5-2715-43A4-93A2-0FCA3549B1B3}" sourceName="[Table1].[discount]">
  <pivotTables>
    <pivotTable tabId="3" name="PivotTable3"/>
    <pivotTable tabId="3" name="PivotTable11"/>
    <pivotTable tabId="3" name="PivotTable12"/>
    <pivotTable tabId="3" name="PivotTable13"/>
    <pivotTable tabId="3" name="PivotTable14"/>
    <pivotTable tabId="3" name="PivotTable2"/>
    <pivotTable tabId="3" name="PivotTable4"/>
    <pivotTable tabId="3" name="PivotTable5"/>
    <pivotTable tabId="3" name="PivotTable6"/>
    <pivotTable tabId="3" name="PivotTable8"/>
    <pivotTable tabId="3" name="PivotTable15"/>
    <pivotTable tabId="3" name="PivotTable16"/>
  </pivotTables>
  <data>
    <olap pivotCacheId="1941788095">
      <levels count="2">
        <level uniqueName="[Table1].[discount].[(All)]" sourceCaption="(All)" count="0"/>
        <level uniqueName="[Table1].[discount].[discount]" sourceCaption="discount" count="6">
          <ranges>
            <range startItem="0">
              <i n="[Table1].[discount].&amp;[5.E-2]" c="0.05"/>
              <i n="[Table1].[discount].&amp;[8.E-2]" c="0.08"/>
              <i n="[Table1].[discount].&amp;[1.E-1]" c="0.1"/>
              <i n="[Table1].[discount].&amp;[1.2E-1]" c="0.12"/>
              <i n="[Table1].[discount].&amp;[1.5E-1]" c="0.15"/>
              <i n="[Table1].[discount].&amp;[2.E-1]" c="0.2"/>
            </range>
          </ranges>
        </level>
      </levels>
      <selections count="1">
        <selection n="[Table1].[discou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B07F36-F3D8-4C51-88C6-BB494321BD6C}" sourceName="[Table1].[product]">
  <pivotTables>
    <pivotTable tabId="3" name="PivotTable3"/>
    <pivotTable tabId="3" name="PivotTable11"/>
    <pivotTable tabId="3" name="PivotTable12"/>
    <pivotTable tabId="3" name="PivotTable13"/>
    <pivotTable tabId="3" name="PivotTable14"/>
    <pivotTable tabId="3" name="PivotTable2"/>
    <pivotTable tabId="3" name="PivotTable4"/>
    <pivotTable tabId="3" name="PivotTable5"/>
    <pivotTable tabId="3" name="PivotTable6"/>
    <pivotTable tabId="3" name="PivotTable8"/>
    <pivotTable tabId="3" name="PivotTable15"/>
    <pivotTable tabId="3" name="PivotTable16"/>
  </pivotTables>
  <data>
    <olap pivotCacheId="1941788095">
      <levels count="2">
        <level uniqueName="[Table1].[product].[(All)]" sourceCaption="(All)" count="0"/>
        <level uniqueName="[Table1].[product].[product]" sourceCaption="product" count="20">
          <ranges>
            <range startItem="0">
              <i n="[Table1].[product].&amp;[Bookshelf]" c="Bookshelf"/>
              <i n="[Table1].[product].&amp;[Cabinet]" c="Cabinet"/>
              <i n="[Table1].[product].&amp;[Chair]" c="Chair"/>
              <i n="[Table1].[product].&amp;[Desk]" c="Desk"/>
              <i n="[Table1].[product].&amp;[Headphones]" c="Headphones"/>
              <i n="[Table1].[product].&amp;[Keyboard]" c="Keyboard"/>
              <i n="[Table1].[product].&amp;[Lamp]" c="Lamp"/>
              <i n="[Table1].[product].&amp;[Laptop]" c="Laptop"/>
              <i n="[Table1].[product].&amp;[Monitor]" c="Monitor"/>
              <i n="[Table1].[product].&amp;[Mouse Pad]" c="Mouse Pad"/>
              <i n="[Table1].[product].&amp;[Office Chair]" c="Office Chair"/>
              <i n="[Table1].[product].&amp;[Printer]" c="Printer"/>
              <i n="[Table1].[product].&amp;[Smartphone]" c="Smartphone"/>
              <i n="[Table1].[product].&amp;[Smartwatch]" c="Smartwatch"/>
              <i n="[Table1].[product].&amp;[Sofa]" c="Sofa"/>
              <i n="[Table1].[product].&amp;[Speaker]" c="Speaker"/>
              <i n="[Table1].[product].&amp;[Table]" c="Table"/>
              <i n="[Table1].[product].&amp;[Tablet]" c="Tablet"/>
              <i n="[Table1].[product].&amp;[Webcam]" c="Webcam"/>
              <i n="[Table1].[product].&amp;[Wireless Mouse]" c="Wireless Mouse"/>
            </range>
          </ranges>
        </level>
      </levels>
      <selections count="1">
        <selection n="[Table1].[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A2CBE82-17D3-4DFE-81B4-508A12E9D8C7}" sourceName="[Table1].[year]">
  <pivotTables>
    <pivotTable tabId="3" name="PivotTable3"/>
    <pivotTable tabId="3" name="PivotTable11"/>
    <pivotTable tabId="3" name="PivotTable12"/>
    <pivotTable tabId="3" name="PivotTable13"/>
    <pivotTable tabId="3" name="PivotTable14"/>
    <pivotTable tabId="3" name="PivotTable2"/>
    <pivotTable tabId="3" name="PivotTable4"/>
    <pivotTable tabId="3" name="PivotTable5"/>
    <pivotTable tabId="3" name="PivotTable6"/>
    <pivotTable tabId="3" name="PivotTable8"/>
    <pivotTable tabId="3" name="PivotTable15"/>
    <pivotTable tabId="3" name="PivotTable16"/>
  </pivotTables>
  <data>
    <olap pivotCacheId="1941788095">
      <levels count="2">
        <level uniqueName="[Table1].[year].[(All)]" sourceCaption="(All)" count="0"/>
        <level uniqueName="[Table1].[year].[year]" sourceCaption="year" count="4">
          <ranges>
            <range startItem="0">
              <i n="[Table1].[year].&amp;[2021]" c="2021"/>
              <i n="[Table1].[year].&amp;[2022]" c="2022"/>
              <i n="[Table1].[year].&amp;[2023]" c="2023"/>
              <i n="[Table1].[year].&amp;[2024]" c="2024"/>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201D58C-B188-4ABD-ADE9-547F51F95E1B}" cache="Slicer_category" caption="category" level="1" rowHeight="241300"/>
  <slicer name="discount" xr10:uid="{9F0B7221-AC03-4AC0-9AC8-FDB622D62518}" cache="Slicer_discount" caption="discount" level="1" rowHeight="241300"/>
  <slicer name="product" xr10:uid="{AB4AF05A-48A6-40D8-BEFC-86C460D85B73}" cache="Slicer_product" caption="product" level="1" rowHeight="241300"/>
  <slicer name="year" xr10:uid="{FAE842D7-0F4C-4273-9BED-1D644CDD6082}" cache="Slicer_year"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E9382EA-CA90-4093-ADFA-7250337356D2}" cache="Slicer_category" caption="category" level="1" style="SlicerStyleDark1" rowHeight="241300"/>
  <slicer name="discount 1" xr10:uid="{EE24E28D-5863-4D36-829E-AC48719B7934}" cache="Slicer_discount" caption="discount" level="1" style="SlicerStyleDark1" rowHeight="241300"/>
  <slicer name="product 1" xr10:uid="{95B11C8E-53DB-44A0-8F0E-B709A9B1384E}" cache="Slicer_product" caption="product" level="1" style="SlicerStyleDark1" rowHeight="241300"/>
  <slicer name="year 1" xr10:uid="{D00364D7-4B82-47B0-B64E-12F67C4BDD1E}" cache="Slicer_year" caption="year" columnCount="4"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F288E8-4D57-4036-9BEE-D01445EDD144}" name="Table1" displayName="Table1" ref="A1:I188" totalsRowShown="0">
  <autoFilter ref="A1:I188" xr:uid="{73F288E8-4D57-4036-9BEE-D01445EDD144}"/>
  <tableColumns count="9">
    <tableColumn id="1" xr3:uid="{AAD5E32E-BD76-4F8B-A006-4DF20D5034C3}" name="customer_name"/>
    <tableColumn id="2" xr3:uid="{DC68C1E8-1E2D-48F9-8665-0840ACD114AA}" name="product"/>
    <tableColumn id="3" xr3:uid="{A529A411-CA5A-4751-B793-32BDE383A946}" name="category"/>
    <tableColumn id="4" xr3:uid="{5F6C8105-F0CF-4CF1-9AB9-C19116B255F6}" name="year"/>
    <tableColumn id="5" xr3:uid="{D2E60372-AE35-42BA-9718-7EE94A6FC7A1}" name="profit" dataDxfId="18"/>
    <tableColumn id="6" xr3:uid="{E4E7C951-C699-4D4A-B31A-F62944C4DD21}" name="revenue" dataDxfId="17"/>
    <tableColumn id="7" xr3:uid="{EF8957E5-3E35-472D-B1D6-B8E55D17AD48}" name="quantity"/>
    <tableColumn id="8" xr3:uid="{D816A4E5-9BAE-4AF4-8A58-F5A413AC330E}" name="discount" dataDxfId="16" dataCellStyle="Percent"/>
    <tableColumn id="9" xr3:uid="{E43F0993-FEEA-48DF-9272-FA4251837FDE}" name="profit margin " dataDxfId="15" dataCellStyle="Currency">
      <calculatedColumnFormula>E2/F2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F3D9E7-E0C0-4B2A-8027-0C268EEF6103}" name="Table13" displayName="Table13" ref="A1:I188" totalsRowShown="0">
  <autoFilter ref="A1:I188" xr:uid="{73F288E8-4D57-4036-9BEE-D01445EDD144}"/>
  <tableColumns count="9">
    <tableColumn id="1" xr3:uid="{6FDE806C-1CDD-4720-B539-D7CB7B472584}" name="customer_name"/>
    <tableColumn id="2" xr3:uid="{E859B8A3-B682-4079-BD22-E133C46C2DB0}" name="product"/>
    <tableColumn id="3" xr3:uid="{7B0EE892-C1B0-422C-BD5C-743AFDD1FF6B}" name="category"/>
    <tableColumn id="4" xr3:uid="{3787DB5F-F63E-4453-B2FD-BD7FB0A6B4AC}" name="year"/>
    <tableColumn id="5" xr3:uid="{C0AB5684-C56B-4DBC-AA77-F7777BEC68ED}" name="profit" dataDxfId="14"/>
    <tableColumn id="6" xr3:uid="{3CFD1FEA-C762-482E-B6C2-0F422769AF51}" name="revenue" dataDxfId="13"/>
    <tableColumn id="7" xr3:uid="{BAF4DFAE-FF68-4198-BFDC-1F24C3EC62FC}" name="quantity"/>
    <tableColumn id="8" xr3:uid="{ABA2D951-4455-4579-B98D-A5ED5C2E94C7}" name="discount" dataDxfId="12" dataCellStyle="Percent"/>
    <tableColumn id="9" xr3:uid="{3D3B3E40-E977-48DF-ACCD-1AD401B3C288}" name="profit margin " dataDxfId="11" dataCellStyle="Currency">
      <calculatedColumnFormula>E2/F2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47DE-66D1-4EBE-9ADE-729D2D9832A7}">
  <dimension ref="A1:I188"/>
  <sheetViews>
    <sheetView topLeftCell="A2" workbookViewId="0">
      <selection activeCell="A2" sqref="A2"/>
    </sheetView>
  </sheetViews>
  <sheetFormatPr defaultRowHeight="14.5" x14ac:dyDescent="0.35"/>
  <cols>
    <col min="1" max="1" width="19.1796875" customWidth="1"/>
    <col min="2" max="2" width="15.36328125" customWidth="1"/>
    <col min="3" max="3" width="17.1796875" customWidth="1"/>
    <col min="5" max="5" width="9.08984375" style="2" bestFit="1" customWidth="1"/>
    <col min="6" max="6" width="11.54296875" style="4" bestFit="1" customWidth="1"/>
    <col min="7" max="7" width="9.7265625" customWidth="1"/>
    <col min="8" max="8" width="9.90625" style="1" customWidth="1"/>
    <col min="9" max="9" width="15.453125" style="3" customWidth="1"/>
  </cols>
  <sheetData>
    <row r="1" spans="1:9" x14ac:dyDescent="0.35">
      <c r="A1" t="s">
        <v>0</v>
      </c>
      <c r="B1" t="s">
        <v>1</v>
      </c>
      <c r="C1" t="s">
        <v>2</v>
      </c>
      <c r="D1" t="s">
        <v>3</v>
      </c>
      <c r="E1" s="2" t="s">
        <v>4</v>
      </c>
      <c r="F1" s="4" t="s">
        <v>5</v>
      </c>
      <c r="G1" t="s">
        <v>6</v>
      </c>
      <c r="H1" s="1" t="s">
        <v>7</v>
      </c>
      <c r="I1" s="3" t="s">
        <v>128</v>
      </c>
    </row>
    <row r="2" spans="1:9" x14ac:dyDescent="0.35">
      <c r="A2" t="s">
        <v>8</v>
      </c>
      <c r="B2" t="s">
        <v>9</v>
      </c>
      <c r="C2" t="s">
        <v>10</v>
      </c>
      <c r="D2">
        <v>2023</v>
      </c>
      <c r="E2" s="2">
        <v>150.5</v>
      </c>
      <c r="F2" s="4">
        <v>1000</v>
      </c>
      <c r="G2">
        <v>5</v>
      </c>
      <c r="H2" s="1">
        <v>0.1</v>
      </c>
      <c r="I2" s="3">
        <f>E2/F2</f>
        <v>0.15049999999999999</v>
      </c>
    </row>
    <row r="3" spans="1:9" x14ac:dyDescent="0.35">
      <c r="A3" t="s">
        <v>11</v>
      </c>
      <c r="B3" t="s">
        <v>12</v>
      </c>
      <c r="C3" t="s">
        <v>10</v>
      </c>
      <c r="D3">
        <v>2022</v>
      </c>
      <c r="E3" s="2">
        <v>300.75</v>
      </c>
      <c r="F3" s="4">
        <v>2000</v>
      </c>
      <c r="G3">
        <v>3</v>
      </c>
      <c r="H3" s="1">
        <v>0.15</v>
      </c>
      <c r="I3" s="3">
        <f t="shared" ref="I3:I66" si="0">E3/F3</f>
        <v>0.15037500000000001</v>
      </c>
    </row>
    <row r="4" spans="1:9" x14ac:dyDescent="0.35">
      <c r="A4" t="s">
        <v>13</v>
      </c>
      <c r="B4" t="s">
        <v>14</v>
      </c>
      <c r="C4" t="s">
        <v>15</v>
      </c>
      <c r="D4">
        <v>2024</v>
      </c>
      <c r="E4" s="2">
        <v>75.2</v>
      </c>
      <c r="F4" s="4">
        <v>500</v>
      </c>
      <c r="G4">
        <v>2</v>
      </c>
      <c r="H4" s="1">
        <v>0.05</v>
      </c>
      <c r="I4" s="3">
        <f t="shared" si="0"/>
        <v>0.15040000000000001</v>
      </c>
    </row>
    <row r="5" spans="1:9" x14ac:dyDescent="0.35">
      <c r="A5" t="s">
        <v>16</v>
      </c>
      <c r="B5" t="s">
        <v>17</v>
      </c>
      <c r="C5" t="s">
        <v>10</v>
      </c>
      <c r="D5">
        <v>2023</v>
      </c>
      <c r="E5" s="2">
        <v>45.3</v>
      </c>
      <c r="F5" s="4">
        <v>300</v>
      </c>
      <c r="G5">
        <v>10</v>
      </c>
      <c r="H5" s="1">
        <v>0.2</v>
      </c>
      <c r="I5" s="3">
        <f t="shared" si="0"/>
        <v>0.151</v>
      </c>
    </row>
    <row r="6" spans="1:9" x14ac:dyDescent="0.35">
      <c r="A6" t="s">
        <v>18</v>
      </c>
      <c r="B6" t="s">
        <v>19</v>
      </c>
      <c r="C6" t="s">
        <v>15</v>
      </c>
      <c r="D6">
        <v>2021</v>
      </c>
      <c r="E6" s="2">
        <v>60</v>
      </c>
      <c r="F6" s="4">
        <v>400</v>
      </c>
      <c r="G6">
        <v>4</v>
      </c>
      <c r="H6" s="1">
        <v>0.1</v>
      </c>
      <c r="I6" s="3">
        <f t="shared" si="0"/>
        <v>0.15</v>
      </c>
    </row>
    <row r="7" spans="1:9" x14ac:dyDescent="0.35">
      <c r="A7" t="s">
        <v>20</v>
      </c>
      <c r="B7" t="s">
        <v>21</v>
      </c>
      <c r="C7" t="s">
        <v>10</v>
      </c>
      <c r="D7">
        <v>2022</v>
      </c>
      <c r="E7" s="2">
        <v>120</v>
      </c>
      <c r="F7" s="4">
        <v>800</v>
      </c>
      <c r="G7">
        <v>6</v>
      </c>
      <c r="H7" s="1">
        <v>0.12</v>
      </c>
      <c r="I7" s="3">
        <f t="shared" si="0"/>
        <v>0.15</v>
      </c>
    </row>
    <row r="8" spans="1:9" x14ac:dyDescent="0.35">
      <c r="A8" t="s">
        <v>22</v>
      </c>
      <c r="B8" t="s">
        <v>23</v>
      </c>
      <c r="C8" t="s">
        <v>15</v>
      </c>
      <c r="D8">
        <v>2023</v>
      </c>
      <c r="E8" s="2">
        <v>90.1</v>
      </c>
      <c r="F8" s="4">
        <v>600</v>
      </c>
      <c r="G8">
        <v>3</v>
      </c>
      <c r="H8" s="1">
        <v>0.08</v>
      </c>
      <c r="I8" s="3">
        <f t="shared" si="0"/>
        <v>0.15016666666666667</v>
      </c>
    </row>
    <row r="9" spans="1:9" x14ac:dyDescent="0.35">
      <c r="A9" t="s">
        <v>24</v>
      </c>
      <c r="B9" t="s">
        <v>25</v>
      </c>
      <c r="C9" t="s">
        <v>10</v>
      </c>
      <c r="D9">
        <v>2024</v>
      </c>
      <c r="E9" s="2">
        <v>200.25</v>
      </c>
      <c r="F9" s="4">
        <v>1200</v>
      </c>
      <c r="G9">
        <v>2</v>
      </c>
      <c r="H9" s="1">
        <v>0.1</v>
      </c>
      <c r="I9" s="3">
        <f t="shared" si="0"/>
        <v>0.166875</v>
      </c>
    </row>
    <row r="10" spans="1:9" x14ac:dyDescent="0.35">
      <c r="A10" t="s">
        <v>26</v>
      </c>
      <c r="B10" t="s">
        <v>27</v>
      </c>
      <c r="C10" t="s">
        <v>15</v>
      </c>
      <c r="D10">
        <v>2021</v>
      </c>
      <c r="E10" s="2">
        <v>50.5</v>
      </c>
      <c r="F10" s="4">
        <v>350</v>
      </c>
      <c r="G10">
        <v>5</v>
      </c>
      <c r="H10" s="1">
        <v>0.15</v>
      </c>
      <c r="I10" s="3">
        <f t="shared" si="0"/>
        <v>0.14428571428571429</v>
      </c>
    </row>
    <row r="11" spans="1:9" x14ac:dyDescent="0.35">
      <c r="A11" t="s">
        <v>28</v>
      </c>
      <c r="B11" t="s">
        <v>29</v>
      </c>
      <c r="C11" t="s">
        <v>10</v>
      </c>
      <c r="D11">
        <v>2023</v>
      </c>
      <c r="E11" s="2">
        <v>80.400000000000006</v>
      </c>
      <c r="F11" s="4">
        <v>450</v>
      </c>
      <c r="G11">
        <v>8</v>
      </c>
      <c r="H11" s="1">
        <v>0.05</v>
      </c>
      <c r="I11" s="3">
        <f t="shared" si="0"/>
        <v>0.17866666666666667</v>
      </c>
    </row>
    <row r="12" spans="1:9" x14ac:dyDescent="0.35">
      <c r="A12" t="s">
        <v>30</v>
      </c>
      <c r="B12" t="s">
        <v>31</v>
      </c>
      <c r="C12" t="s">
        <v>15</v>
      </c>
      <c r="D12">
        <v>2022</v>
      </c>
      <c r="E12" s="2">
        <v>100</v>
      </c>
      <c r="F12" s="4">
        <v>700</v>
      </c>
      <c r="G12">
        <v>3</v>
      </c>
      <c r="H12" s="1">
        <v>0.1</v>
      </c>
      <c r="I12" s="3">
        <f t="shared" si="0"/>
        <v>0.14285714285714285</v>
      </c>
    </row>
    <row r="13" spans="1:9" x14ac:dyDescent="0.35">
      <c r="A13" t="s">
        <v>32</v>
      </c>
      <c r="B13" t="s">
        <v>33</v>
      </c>
      <c r="C13" t="s">
        <v>10</v>
      </c>
      <c r="D13">
        <v>2024</v>
      </c>
      <c r="E13" s="2">
        <v>30.2</v>
      </c>
      <c r="F13" s="4">
        <v>150</v>
      </c>
      <c r="G13">
        <v>12</v>
      </c>
      <c r="H13" s="1">
        <v>0.2</v>
      </c>
      <c r="I13" s="3">
        <f t="shared" si="0"/>
        <v>0.20133333333333334</v>
      </c>
    </row>
    <row r="14" spans="1:9" x14ac:dyDescent="0.35">
      <c r="A14" t="s">
        <v>34</v>
      </c>
      <c r="B14" t="s">
        <v>35</v>
      </c>
      <c r="C14" t="s">
        <v>10</v>
      </c>
      <c r="D14">
        <v>2023</v>
      </c>
      <c r="E14" s="2">
        <v>110.75</v>
      </c>
      <c r="F14" s="4">
        <v>900</v>
      </c>
      <c r="G14">
        <v>4</v>
      </c>
      <c r="H14" s="1">
        <v>0.15</v>
      </c>
      <c r="I14" s="3">
        <f t="shared" si="0"/>
        <v>0.12305555555555556</v>
      </c>
    </row>
    <row r="15" spans="1:9" x14ac:dyDescent="0.35">
      <c r="A15" t="s">
        <v>36</v>
      </c>
      <c r="B15" t="s">
        <v>37</v>
      </c>
      <c r="C15" t="s">
        <v>15</v>
      </c>
      <c r="D15">
        <v>2022</v>
      </c>
      <c r="E15" s="2">
        <v>25.3</v>
      </c>
      <c r="F15" s="4">
        <v>200</v>
      </c>
      <c r="G15">
        <v>6</v>
      </c>
      <c r="H15" s="1">
        <v>0.05</v>
      </c>
      <c r="I15" s="3">
        <f t="shared" si="0"/>
        <v>0.1265</v>
      </c>
    </row>
    <row r="16" spans="1:9" x14ac:dyDescent="0.35">
      <c r="A16" t="s">
        <v>38</v>
      </c>
      <c r="B16" t="s">
        <v>39</v>
      </c>
      <c r="C16" t="s">
        <v>10</v>
      </c>
      <c r="D16">
        <v>2021</v>
      </c>
      <c r="E16" s="2">
        <v>40</v>
      </c>
      <c r="F16" s="4">
        <v>250</v>
      </c>
      <c r="G16">
        <v>10</v>
      </c>
      <c r="H16" s="1">
        <v>0.1</v>
      </c>
      <c r="I16" s="3">
        <f t="shared" si="0"/>
        <v>0.16</v>
      </c>
    </row>
    <row r="17" spans="1:9" x14ac:dyDescent="0.35">
      <c r="A17" t="s">
        <v>40</v>
      </c>
      <c r="B17" t="s">
        <v>41</v>
      </c>
      <c r="C17" t="s">
        <v>15</v>
      </c>
      <c r="D17">
        <v>2024</v>
      </c>
      <c r="E17" s="2">
        <v>130.5</v>
      </c>
      <c r="F17" s="4">
        <v>850</v>
      </c>
      <c r="G17">
        <v>2</v>
      </c>
      <c r="H17" s="1">
        <v>0.12</v>
      </c>
      <c r="I17" s="3">
        <f t="shared" si="0"/>
        <v>0.15352941176470589</v>
      </c>
    </row>
    <row r="18" spans="1:9" x14ac:dyDescent="0.35">
      <c r="A18" t="s">
        <v>42</v>
      </c>
      <c r="B18" t="s">
        <v>43</v>
      </c>
      <c r="C18" t="s">
        <v>10</v>
      </c>
      <c r="D18">
        <v>2023</v>
      </c>
      <c r="E18" s="2">
        <v>70.8</v>
      </c>
      <c r="F18" s="4">
        <v>500</v>
      </c>
      <c r="G18">
        <v>7</v>
      </c>
      <c r="H18" s="1">
        <v>0.08</v>
      </c>
      <c r="I18" s="3">
        <f t="shared" si="0"/>
        <v>0.1416</v>
      </c>
    </row>
    <row r="19" spans="1:9" x14ac:dyDescent="0.35">
      <c r="A19" t="s">
        <v>44</v>
      </c>
      <c r="B19" t="s">
        <v>14</v>
      </c>
      <c r="C19" t="s">
        <v>15</v>
      </c>
      <c r="D19">
        <v>2022</v>
      </c>
      <c r="E19" s="2">
        <v>85.6</v>
      </c>
      <c r="F19" s="4">
        <v>550</v>
      </c>
      <c r="G19">
        <v>3</v>
      </c>
      <c r="H19" s="1">
        <v>0.1</v>
      </c>
      <c r="I19" s="3">
        <f t="shared" si="0"/>
        <v>0.15563636363636363</v>
      </c>
    </row>
    <row r="20" spans="1:9" x14ac:dyDescent="0.35">
      <c r="A20" t="s">
        <v>45</v>
      </c>
      <c r="B20" t="s">
        <v>46</v>
      </c>
      <c r="C20" t="s">
        <v>10</v>
      </c>
      <c r="D20">
        <v>2021</v>
      </c>
      <c r="E20" s="2">
        <v>60.25</v>
      </c>
      <c r="F20" s="4">
        <v>400</v>
      </c>
      <c r="G20">
        <v>5</v>
      </c>
      <c r="H20" s="1">
        <v>0.15</v>
      </c>
      <c r="I20" s="3">
        <f t="shared" si="0"/>
        <v>0.15062500000000001</v>
      </c>
    </row>
    <row r="21" spans="1:9" x14ac:dyDescent="0.35">
      <c r="A21" t="s">
        <v>47</v>
      </c>
      <c r="B21" t="s">
        <v>48</v>
      </c>
      <c r="C21" t="s">
        <v>15</v>
      </c>
      <c r="D21">
        <v>2024</v>
      </c>
      <c r="E21" s="2">
        <v>200</v>
      </c>
      <c r="F21" s="4">
        <v>1500</v>
      </c>
      <c r="G21">
        <v>1</v>
      </c>
      <c r="H21" s="1">
        <v>0.05</v>
      </c>
      <c r="I21" s="3">
        <f t="shared" si="0"/>
        <v>0.13333333333333333</v>
      </c>
    </row>
    <row r="22" spans="1:9" x14ac:dyDescent="0.35">
      <c r="A22" t="s">
        <v>49</v>
      </c>
      <c r="B22" t="s">
        <v>50</v>
      </c>
      <c r="C22" t="s">
        <v>10</v>
      </c>
      <c r="D22">
        <v>2023</v>
      </c>
      <c r="E22" s="2">
        <v>15.1</v>
      </c>
      <c r="F22" s="4">
        <v>100</v>
      </c>
      <c r="G22">
        <v>15</v>
      </c>
      <c r="H22" s="1">
        <v>0.2</v>
      </c>
      <c r="I22" s="3">
        <f t="shared" si="0"/>
        <v>0.151</v>
      </c>
    </row>
    <row r="23" spans="1:9" x14ac:dyDescent="0.35">
      <c r="A23" t="s">
        <v>51</v>
      </c>
      <c r="B23" t="s">
        <v>23</v>
      </c>
      <c r="C23" t="s">
        <v>15</v>
      </c>
      <c r="D23">
        <v>2022</v>
      </c>
      <c r="E23" s="2">
        <v>95.4</v>
      </c>
      <c r="F23" s="4">
        <v>650</v>
      </c>
      <c r="G23">
        <v>3</v>
      </c>
      <c r="H23" s="1">
        <v>0.1</v>
      </c>
      <c r="I23" s="3">
        <f t="shared" si="0"/>
        <v>0.14676923076923079</v>
      </c>
    </row>
    <row r="24" spans="1:9" x14ac:dyDescent="0.35">
      <c r="A24" t="s">
        <v>52</v>
      </c>
      <c r="B24" t="s">
        <v>12</v>
      </c>
      <c r="C24" t="s">
        <v>10</v>
      </c>
      <c r="D24">
        <v>2021</v>
      </c>
      <c r="E24" s="2">
        <v>350.5</v>
      </c>
      <c r="F24" s="4">
        <v>2200</v>
      </c>
      <c r="G24">
        <v>2</v>
      </c>
      <c r="H24" s="1">
        <v>0.12</v>
      </c>
      <c r="I24" s="3">
        <f t="shared" si="0"/>
        <v>0.15931818181818183</v>
      </c>
    </row>
    <row r="25" spans="1:9" x14ac:dyDescent="0.35">
      <c r="A25" t="s">
        <v>53</v>
      </c>
      <c r="B25" t="s">
        <v>19</v>
      </c>
      <c r="C25" t="s">
        <v>15</v>
      </c>
      <c r="D25">
        <v>2024</v>
      </c>
      <c r="E25" s="2">
        <v>55.75</v>
      </c>
      <c r="F25" s="4">
        <v>380</v>
      </c>
      <c r="G25">
        <v>4</v>
      </c>
      <c r="H25" s="1">
        <v>0.08</v>
      </c>
      <c r="I25" s="3">
        <f t="shared" si="0"/>
        <v>0.14671052631578949</v>
      </c>
    </row>
    <row r="26" spans="1:9" x14ac:dyDescent="0.35">
      <c r="A26" t="s">
        <v>54</v>
      </c>
      <c r="B26" t="s">
        <v>9</v>
      </c>
      <c r="C26" t="s">
        <v>10</v>
      </c>
      <c r="D26">
        <v>2023</v>
      </c>
      <c r="E26" s="2">
        <v>140.19999999999999</v>
      </c>
      <c r="F26" s="4">
        <v>950</v>
      </c>
      <c r="G26">
        <v>5</v>
      </c>
      <c r="H26" s="1">
        <v>0.1</v>
      </c>
      <c r="I26" s="3">
        <f t="shared" si="0"/>
        <v>0.14757894736842103</v>
      </c>
    </row>
    <row r="27" spans="1:9" x14ac:dyDescent="0.35">
      <c r="A27" t="s">
        <v>55</v>
      </c>
      <c r="B27" t="s">
        <v>31</v>
      </c>
      <c r="C27" t="s">
        <v>15</v>
      </c>
      <c r="D27">
        <v>2022</v>
      </c>
      <c r="E27" s="2">
        <v>110.3</v>
      </c>
      <c r="F27" s="4">
        <v>750</v>
      </c>
      <c r="G27">
        <v>2</v>
      </c>
      <c r="H27" s="1">
        <v>0.15</v>
      </c>
      <c r="I27" s="3">
        <f t="shared" si="0"/>
        <v>0.14706666666666665</v>
      </c>
    </row>
    <row r="28" spans="1:9" x14ac:dyDescent="0.35">
      <c r="A28" t="s">
        <v>56</v>
      </c>
      <c r="B28" t="s">
        <v>17</v>
      </c>
      <c r="C28" t="s">
        <v>10</v>
      </c>
      <c r="D28">
        <v>2021</v>
      </c>
      <c r="E28" s="2">
        <v>50</v>
      </c>
      <c r="F28" s="4">
        <v>320</v>
      </c>
      <c r="G28">
        <v>8</v>
      </c>
      <c r="H28" s="1">
        <v>0.05</v>
      </c>
      <c r="I28" s="3">
        <f t="shared" si="0"/>
        <v>0.15625</v>
      </c>
    </row>
    <row r="29" spans="1:9" x14ac:dyDescent="0.35">
      <c r="A29" t="s">
        <v>57</v>
      </c>
      <c r="B29" t="s">
        <v>25</v>
      </c>
      <c r="C29" t="s">
        <v>10</v>
      </c>
      <c r="D29">
        <v>2024</v>
      </c>
      <c r="E29" s="2">
        <v>180.6</v>
      </c>
      <c r="F29" s="4">
        <v>1100</v>
      </c>
      <c r="G29">
        <v>3</v>
      </c>
      <c r="H29" s="1">
        <v>0.1</v>
      </c>
      <c r="I29" s="3">
        <f t="shared" si="0"/>
        <v>0.16418181818181818</v>
      </c>
    </row>
    <row r="30" spans="1:9" x14ac:dyDescent="0.35">
      <c r="A30" t="s">
        <v>58</v>
      </c>
      <c r="B30" t="s">
        <v>27</v>
      </c>
      <c r="C30" t="s">
        <v>15</v>
      </c>
      <c r="D30">
        <v>2023</v>
      </c>
      <c r="E30" s="2">
        <v>70.25</v>
      </c>
      <c r="F30" s="4">
        <v>450</v>
      </c>
      <c r="G30">
        <v>4</v>
      </c>
      <c r="H30" s="1">
        <v>0.12</v>
      </c>
      <c r="I30" s="3">
        <f t="shared" si="0"/>
        <v>0.15611111111111112</v>
      </c>
    </row>
    <row r="31" spans="1:9" x14ac:dyDescent="0.35">
      <c r="A31" t="s">
        <v>59</v>
      </c>
      <c r="B31" t="s">
        <v>21</v>
      </c>
      <c r="C31" t="s">
        <v>10</v>
      </c>
      <c r="D31">
        <v>2022</v>
      </c>
      <c r="E31" s="2">
        <v>130.80000000000001</v>
      </c>
      <c r="F31" s="4">
        <v>850</v>
      </c>
      <c r="G31">
        <v>6</v>
      </c>
      <c r="H31" s="1">
        <v>0.08</v>
      </c>
      <c r="I31" s="3">
        <f t="shared" si="0"/>
        <v>0.15388235294117647</v>
      </c>
    </row>
    <row r="32" spans="1:9" x14ac:dyDescent="0.35">
      <c r="A32" t="s">
        <v>60</v>
      </c>
      <c r="B32" t="s">
        <v>37</v>
      </c>
      <c r="C32" t="s">
        <v>15</v>
      </c>
      <c r="D32">
        <v>2021</v>
      </c>
      <c r="E32" s="2">
        <v>30.4</v>
      </c>
      <c r="F32" s="4">
        <v>220</v>
      </c>
      <c r="G32">
        <v>5</v>
      </c>
      <c r="H32" s="1">
        <v>0.2</v>
      </c>
      <c r="I32" s="3">
        <f t="shared" si="0"/>
        <v>0.13818181818181818</v>
      </c>
    </row>
    <row r="33" spans="1:9" x14ac:dyDescent="0.35">
      <c r="A33" t="s">
        <v>61</v>
      </c>
      <c r="B33" t="s">
        <v>39</v>
      </c>
      <c r="C33" t="s">
        <v>10</v>
      </c>
      <c r="D33">
        <v>2024</v>
      </c>
      <c r="E33" s="2">
        <v>45.1</v>
      </c>
      <c r="F33" s="4">
        <v>280</v>
      </c>
      <c r="G33">
        <v>10</v>
      </c>
      <c r="H33" s="1">
        <v>0.1</v>
      </c>
      <c r="I33" s="3">
        <f t="shared" si="0"/>
        <v>0.16107142857142859</v>
      </c>
    </row>
    <row r="34" spans="1:9" x14ac:dyDescent="0.35">
      <c r="A34" t="s">
        <v>62</v>
      </c>
      <c r="B34" t="s">
        <v>41</v>
      </c>
      <c r="C34" t="s">
        <v>15</v>
      </c>
      <c r="D34">
        <v>2023</v>
      </c>
      <c r="E34" s="2">
        <v>140</v>
      </c>
      <c r="F34" s="4">
        <v>900</v>
      </c>
      <c r="G34">
        <v>2</v>
      </c>
      <c r="H34" s="1">
        <v>0.15</v>
      </c>
      <c r="I34" s="3">
        <f t="shared" si="0"/>
        <v>0.15555555555555556</v>
      </c>
    </row>
    <row r="35" spans="1:9" x14ac:dyDescent="0.35">
      <c r="A35" t="s">
        <v>63</v>
      </c>
      <c r="B35" t="s">
        <v>43</v>
      </c>
      <c r="C35" t="s">
        <v>10</v>
      </c>
      <c r="D35">
        <v>2022</v>
      </c>
      <c r="E35" s="2">
        <v>75.5</v>
      </c>
      <c r="F35" s="4">
        <v>520</v>
      </c>
      <c r="G35">
        <v>7</v>
      </c>
      <c r="H35" s="1">
        <v>0.05</v>
      </c>
      <c r="I35" s="3">
        <f t="shared" si="0"/>
        <v>0.1451923076923077</v>
      </c>
    </row>
    <row r="36" spans="1:9" x14ac:dyDescent="0.35">
      <c r="A36" t="s">
        <v>64</v>
      </c>
      <c r="B36" t="s">
        <v>14</v>
      </c>
      <c r="C36" t="s">
        <v>15</v>
      </c>
      <c r="D36">
        <v>2021</v>
      </c>
      <c r="E36" s="2">
        <v>90.2</v>
      </c>
      <c r="F36" s="4">
        <v>600</v>
      </c>
      <c r="G36">
        <v>3</v>
      </c>
      <c r="H36" s="1">
        <v>0.1</v>
      </c>
      <c r="I36" s="3">
        <f t="shared" si="0"/>
        <v>0.15033333333333335</v>
      </c>
    </row>
    <row r="37" spans="1:9" x14ac:dyDescent="0.35">
      <c r="A37" t="s">
        <v>65</v>
      </c>
      <c r="B37" t="s">
        <v>29</v>
      </c>
      <c r="C37" t="s">
        <v>10</v>
      </c>
      <c r="D37">
        <v>2024</v>
      </c>
      <c r="E37" s="2">
        <v>85.3</v>
      </c>
      <c r="F37" s="4">
        <v>480</v>
      </c>
      <c r="G37">
        <v>8</v>
      </c>
      <c r="H37" s="1">
        <v>0.12</v>
      </c>
      <c r="I37" s="3">
        <f t="shared" si="0"/>
        <v>0.17770833333333333</v>
      </c>
    </row>
    <row r="38" spans="1:9" x14ac:dyDescent="0.35">
      <c r="A38" t="s">
        <v>66</v>
      </c>
      <c r="B38" t="s">
        <v>23</v>
      </c>
      <c r="C38" t="s">
        <v>15</v>
      </c>
      <c r="D38">
        <v>2023</v>
      </c>
      <c r="E38" s="2">
        <v>100.75</v>
      </c>
      <c r="F38" s="4">
        <v>700</v>
      </c>
      <c r="G38">
        <v>3</v>
      </c>
      <c r="H38" s="1">
        <v>0.08</v>
      </c>
      <c r="I38" s="3">
        <f t="shared" si="0"/>
        <v>0.14392857142857143</v>
      </c>
    </row>
    <row r="39" spans="1:9" x14ac:dyDescent="0.35">
      <c r="A39" t="s">
        <v>67</v>
      </c>
      <c r="B39" t="s">
        <v>50</v>
      </c>
      <c r="C39" t="s">
        <v>10</v>
      </c>
      <c r="D39">
        <v>2022</v>
      </c>
      <c r="E39" s="2">
        <v>20</v>
      </c>
      <c r="F39" s="4">
        <v>120</v>
      </c>
      <c r="G39">
        <v>12</v>
      </c>
      <c r="H39" s="1">
        <v>0.2</v>
      </c>
      <c r="I39" s="3">
        <f t="shared" si="0"/>
        <v>0.16666666666666666</v>
      </c>
    </row>
    <row r="40" spans="1:9" x14ac:dyDescent="0.35">
      <c r="A40" t="s">
        <v>68</v>
      </c>
      <c r="B40" t="s">
        <v>35</v>
      </c>
      <c r="C40" t="s">
        <v>10</v>
      </c>
      <c r="D40">
        <v>2021</v>
      </c>
      <c r="E40" s="2">
        <v>115.4</v>
      </c>
      <c r="F40" s="4">
        <v>950</v>
      </c>
      <c r="G40">
        <v>4</v>
      </c>
      <c r="H40" s="1">
        <v>0.1</v>
      </c>
      <c r="I40" s="3">
        <f t="shared" si="0"/>
        <v>0.12147368421052632</v>
      </c>
    </row>
    <row r="41" spans="1:9" x14ac:dyDescent="0.35">
      <c r="A41" t="s">
        <v>69</v>
      </c>
      <c r="B41" t="s">
        <v>48</v>
      </c>
      <c r="C41" t="s">
        <v>15</v>
      </c>
      <c r="D41">
        <v>2024</v>
      </c>
      <c r="E41" s="2">
        <v>210.5</v>
      </c>
      <c r="F41" s="4">
        <v>1600</v>
      </c>
      <c r="G41">
        <v>1</v>
      </c>
      <c r="H41" s="1">
        <v>0.05</v>
      </c>
      <c r="I41" s="3">
        <f t="shared" si="0"/>
        <v>0.1315625</v>
      </c>
    </row>
    <row r="42" spans="1:9" x14ac:dyDescent="0.35">
      <c r="A42" t="s">
        <v>70</v>
      </c>
      <c r="B42" t="s">
        <v>12</v>
      </c>
      <c r="C42" t="s">
        <v>10</v>
      </c>
      <c r="D42">
        <v>2023</v>
      </c>
      <c r="E42" s="2">
        <v>360.25</v>
      </c>
      <c r="F42" s="4">
        <v>2300</v>
      </c>
      <c r="G42">
        <v>2</v>
      </c>
      <c r="H42" s="1">
        <v>0.15</v>
      </c>
      <c r="I42" s="3">
        <f t="shared" si="0"/>
        <v>0.15663043478260869</v>
      </c>
    </row>
    <row r="43" spans="1:9" x14ac:dyDescent="0.35">
      <c r="A43" t="s">
        <v>71</v>
      </c>
      <c r="B43" t="s">
        <v>19</v>
      </c>
      <c r="C43" t="s">
        <v>15</v>
      </c>
      <c r="D43">
        <v>2022</v>
      </c>
      <c r="E43" s="2">
        <v>60.8</v>
      </c>
      <c r="F43" s="4">
        <v>400</v>
      </c>
      <c r="G43">
        <v>4</v>
      </c>
      <c r="H43" s="1">
        <v>0.1</v>
      </c>
      <c r="I43" s="3">
        <f t="shared" si="0"/>
        <v>0.152</v>
      </c>
    </row>
    <row r="44" spans="1:9" x14ac:dyDescent="0.35">
      <c r="A44" t="s">
        <v>72</v>
      </c>
      <c r="B44" t="s">
        <v>17</v>
      </c>
      <c r="C44" t="s">
        <v>10</v>
      </c>
      <c r="D44">
        <v>2021</v>
      </c>
      <c r="E44" s="2">
        <v>55.1</v>
      </c>
      <c r="F44" s="4">
        <v>350</v>
      </c>
      <c r="G44">
        <v>8</v>
      </c>
      <c r="H44" s="1">
        <v>0.12</v>
      </c>
      <c r="I44" s="3">
        <f t="shared" si="0"/>
        <v>0.15742857142857145</v>
      </c>
    </row>
    <row r="45" spans="1:9" x14ac:dyDescent="0.35">
      <c r="A45" t="s">
        <v>73</v>
      </c>
      <c r="B45" t="s">
        <v>31</v>
      </c>
      <c r="C45" t="s">
        <v>15</v>
      </c>
      <c r="D45">
        <v>2024</v>
      </c>
      <c r="E45" s="2">
        <v>120</v>
      </c>
      <c r="F45" s="4">
        <v>800</v>
      </c>
      <c r="G45">
        <v>2</v>
      </c>
      <c r="H45" s="1">
        <v>0.08</v>
      </c>
      <c r="I45" s="3">
        <f t="shared" si="0"/>
        <v>0.15</v>
      </c>
    </row>
    <row r="46" spans="1:9" x14ac:dyDescent="0.35">
      <c r="A46" t="s">
        <v>74</v>
      </c>
      <c r="B46" t="s">
        <v>25</v>
      </c>
      <c r="C46" t="s">
        <v>10</v>
      </c>
      <c r="D46">
        <v>2023</v>
      </c>
      <c r="E46" s="2">
        <v>190.6</v>
      </c>
      <c r="F46" s="4">
        <v>1150</v>
      </c>
      <c r="G46">
        <v>3</v>
      </c>
      <c r="H46" s="1">
        <v>0.1</v>
      </c>
      <c r="I46" s="3">
        <f t="shared" si="0"/>
        <v>0.16573913043478261</v>
      </c>
    </row>
    <row r="47" spans="1:9" x14ac:dyDescent="0.35">
      <c r="A47" t="s">
        <v>75</v>
      </c>
      <c r="B47" t="s">
        <v>27</v>
      </c>
      <c r="C47" t="s">
        <v>15</v>
      </c>
      <c r="D47">
        <v>2022</v>
      </c>
      <c r="E47" s="2">
        <v>75.25</v>
      </c>
      <c r="F47" s="4">
        <v>480</v>
      </c>
      <c r="G47">
        <v>4</v>
      </c>
      <c r="H47" s="1">
        <v>0.15</v>
      </c>
      <c r="I47" s="3">
        <f t="shared" si="0"/>
        <v>0.15677083333333333</v>
      </c>
    </row>
    <row r="48" spans="1:9" x14ac:dyDescent="0.35">
      <c r="A48" t="s">
        <v>76</v>
      </c>
      <c r="B48" t="s">
        <v>9</v>
      </c>
      <c r="C48" t="s">
        <v>10</v>
      </c>
      <c r="D48">
        <v>2021</v>
      </c>
      <c r="E48" s="2">
        <v>145.30000000000001</v>
      </c>
      <c r="F48" s="4">
        <v>970</v>
      </c>
      <c r="G48">
        <v>5</v>
      </c>
      <c r="H48" s="1">
        <v>0.05</v>
      </c>
      <c r="I48" s="3">
        <f t="shared" si="0"/>
        <v>0.1497938144329897</v>
      </c>
    </row>
    <row r="49" spans="1:9" x14ac:dyDescent="0.35">
      <c r="A49" t="s">
        <v>77</v>
      </c>
      <c r="B49" t="s">
        <v>23</v>
      </c>
      <c r="C49" t="s">
        <v>15</v>
      </c>
      <c r="D49">
        <v>2024</v>
      </c>
      <c r="E49" s="2">
        <v>105.4</v>
      </c>
      <c r="F49" s="4">
        <v>720</v>
      </c>
      <c r="G49">
        <v>3</v>
      </c>
      <c r="H49" s="1">
        <v>0.12</v>
      </c>
      <c r="I49" s="3">
        <f t="shared" si="0"/>
        <v>0.1463888888888889</v>
      </c>
    </row>
    <row r="50" spans="1:9" x14ac:dyDescent="0.35">
      <c r="A50" t="s">
        <v>78</v>
      </c>
      <c r="B50" t="s">
        <v>39</v>
      </c>
      <c r="C50" t="s">
        <v>10</v>
      </c>
      <c r="D50">
        <v>2023</v>
      </c>
      <c r="E50" s="2">
        <v>50</v>
      </c>
      <c r="F50" s="4">
        <v>300</v>
      </c>
      <c r="G50">
        <v>10</v>
      </c>
      <c r="H50" s="1">
        <v>0.1</v>
      </c>
      <c r="I50" s="3">
        <f t="shared" si="0"/>
        <v>0.16666666666666666</v>
      </c>
    </row>
    <row r="51" spans="1:9" x14ac:dyDescent="0.35">
      <c r="A51" t="s">
        <v>79</v>
      </c>
      <c r="B51" t="s">
        <v>37</v>
      </c>
      <c r="C51" t="s">
        <v>15</v>
      </c>
      <c r="D51">
        <v>2022</v>
      </c>
      <c r="E51" s="2">
        <v>35.200000000000003</v>
      </c>
      <c r="F51" s="4">
        <v>240</v>
      </c>
      <c r="G51">
        <v>5</v>
      </c>
      <c r="H51" s="1">
        <v>0.2</v>
      </c>
      <c r="I51" s="3">
        <f t="shared" si="0"/>
        <v>0.14666666666666667</v>
      </c>
    </row>
    <row r="52" spans="1:9" x14ac:dyDescent="0.35">
      <c r="A52" t="s">
        <v>80</v>
      </c>
      <c r="B52" t="s">
        <v>43</v>
      </c>
      <c r="C52" t="s">
        <v>10</v>
      </c>
      <c r="D52">
        <v>2021</v>
      </c>
      <c r="E52" s="2">
        <v>80.75</v>
      </c>
      <c r="F52" s="4">
        <v>550</v>
      </c>
      <c r="G52">
        <v>7</v>
      </c>
      <c r="H52" s="1">
        <v>0.08</v>
      </c>
      <c r="I52" s="3">
        <f t="shared" si="0"/>
        <v>0.14681818181818182</v>
      </c>
    </row>
    <row r="53" spans="1:9" x14ac:dyDescent="0.35">
      <c r="A53" t="s">
        <v>81</v>
      </c>
      <c r="B53" t="s">
        <v>41</v>
      </c>
      <c r="C53" t="s">
        <v>15</v>
      </c>
      <c r="D53">
        <v>2024</v>
      </c>
      <c r="E53" s="2">
        <v>150.1</v>
      </c>
      <c r="F53" s="4">
        <v>950</v>
      </c>
      <c r="G53">
        <v>2</v>
      </c>
      <c r="H53" s="1">
        <v>0.1</v>
      </c>
      <c r="I53" s="3">
        <f t="shared" si="0"/>
        <v>0.158</v>
      </c>
    </row>
    <row r="54" spans="1:9" x14ac:dyDescent="0.35">
      <c r="A54" t="s">
        <v>82</v>
      </c>
      <c r="B54" t="s">
        <v>50</v>
      </c>
      <c r="C54" t="s">
        <v>10</v>
      </c>
      <c r="D54">
        <v>2023</v>
      </c>
      <c r="E54" s="2">
        <v>25</v>
      </c>
      <c r="F54" s="4">
        <v>140</v>
      </c>
      <c r="G54">
        <v>12</v>
      </c>
      <c r="H54" s="1">
        <v>0.15</v>
      </c>
      <c r="I54" s="3">
        <f t="shared" si="0"/>
        <v>0.17857142857142858</v>
      </c>
    </row>
    <row r="55" spans="1:9" x14ac:dyDescent="0.35">
      <c r="A55" t="s">
        <v>83</v>
      </c>
      <c r="B55" t="s">
        <v>14</v>
      </c>
      <c r="C55" t="s">
        <v>15</v>
      </c>
      <c r="D55">
        <v>2022</v>
      </c>
      <c r="E55" s="2">
        <v>95.5</v>
      </c>
      <c r="F55" s="4">
        <v>650</v>
      </c>
      <c r="G55">
        <v>3</v>
      </c>
      <c r="H55" s="1">
        <v>0.05</v>
      </c>
      <c r="I55" s="3">
        <f t="shared" si="0"/>
        <v>0.14692307692307693</v>
      </c>
    </row>
    <row r="56" spans="1:9" x14ac:dyDescent="0.35">
      <c r="A56" t="s">
        <v>84</v>
      </c>
      <c r="B56" t="s">
        <v>29</v>
      </c>
      <c r="C56" t="s">
        <v>10</v>
      </c>
      <c r="D56">
        <v>2021</v>
      </c>
      <c r="E56" s="2">
        <v>90.4</v>
      </c>
      <c r="F56" s="4">
        <v>500</v>
      </c>
      <c r="G56">
        <v>8</v>
      </c>
      <c r="H56" s="1">
        <v>0.12</v>
      </c>
      <c r="I56" s="3">
        <f t="shared" si="0"/>
        <v>0.18080000000000002</v>
      </c>
    </row>
    <row r="57" spans="1:9" x14ac:dyDescent="0.35">
      <c r="A57" t="s">
        <v>85</v>
      </c>
      <c r="B57" t="s">
        <v>31</v>
      </c>
      <c r="C57" t="s">
        <v>15</v>
      </c>
      <c r="D57">
        <v>2024</v>
      </c>
      <c r="E57" s="2">
        <v>125.3</v>
      </c>
      <c r="F57" s="4">
        <v>820</v>
      </c>
      <c r="G57">
        <v>2</v>
      </c>
      <c r="H57" s="1">
        <v>0.1</v>
      </c>
      <c r="I57" s="3">
        <f t="shared" si="0"/>
        <v>0.15280487804878048</v>
      </c>
    </row>
    <row r="58" spans="1:9" x14ac:dyDescent="0.35">
      <c r="A58" t="s">
        <v>86</v>
      </c>
      <c r="B58" t="s">
        <v>17</v>
      </c>
      <c r="C58" t="s">
        <v>10</v>
      </c>
      <c r="D58">
        <v>2023</v>
      </c>
      <c r="E58" s="2">
        <v>60.2</v>
      </c>
      <c r="F58" s="4">
        <v>370</v>
      </c>
      <c r="G58">
        <v>8</v>
      </c>
      <c r="H58" s="1">
        <v>0.08</v>
      </c>
      <c r="I58" s="3">
        <f t="shared" si="0"/>
        <v>0.16270270270270271</v>
      </c>
    </row>
    <row r="59" spans="1:9" x14ac:dyDescent="0.35">
      <c r="A59" t="s">
        <v>87</v>
      </c>
      <c r="B59" t="s">
        <v>12</v>
      </c>
      <c r="C59" t="s">
        <v>10</v>
      </c>
      <c r="D59">
        <v>2022</v>
      </c>
      <c r="E59" s="2">
        <v>370</v>
      </c>
      <c r="F59" s="4">
        <v>2400</v>
      </c>
      <c r="G59">
        <v>2</v>
      </c>
      <c r="H59" s="1">
        <v>0.15</v>
      </c>
      <c r="I59" s="3">
        <f t="shared" si="0"/>
        <v>0.15416666666666667</v>
      </c>
    </row>
    <row r="60" spans="1:9" x14ac:dyDescent="0.35">
      <c r="A60" t="s">
        <v>88</v>
      </c>
      <c r="B60" t="s">
        <v>19</v>
      </c>
      <c r="C60" t="s">
        <v>15</v>
      </c>
      <c r="D60">
        <v>2021</v>
      </c>
      <c r="E60" s="2">
        <v>65.75</v>
      </c>
      <c r="F60" s="4">
        <v>420</v>
      </c>
      <c r="G60">
        <v>4</v>
      </c>
      <c r="H60" s="1">
        <v>0.1</v>
      </c>
      <c r="I60" s="3">
        <f t="shared" si="0"/>
        <v>0.15654761904761905</v>
      </c>
    </row>
    <row r="61" spans="1:9" x14ac:dyDescent="0.35">
      <c r="A61" t="s">
        <v>89</v>
      </c>
      <c r="B61" t="s">
        <v>25</v>
      </c>
      <c r="C61" t="s">
        <v>10</v>
      </c>
      <c r="D61">
        <v>2024</v>
      </c>
      <c r="E61" s="2">
        <v>200.6</v>
      </c>
      <c r="F61" s="4">
        <v>1200</v>
      </c>
      <c r="G61">
        <v>3</v>
      </c>
      <c r="H61" s="1">
        <v>0.05</v>
      </c>
      <c r="I61" s="3">
        <f t="shared" si="0"/>
        <v>0.16716666666666666</v>
      </c>
    </row>
    <row r="62" spans="1:9" x14ac:dyDescent="0.35">
      <c r="A62" t="s">
        <v>90</v>
      </c>
      <c r="B62" t="s">
        <v>23</v>
      </c>
      <c r="C62" t="s">
        <v>15</v>
      </c>
      <c r="D62">
        <v>2023</v>
      </c>
      <c r="E62" s="2">
        <v>110.25</v>
      </c>
      <c r="F62" s="4">
        <v>750</v>
      </c>
      <c r="G62">
        <v>3</v>
      </c>
      <c r="H62" s="1">
        <v>0.12</v>
      </c>
      <c r="I62" s="3">
        <f t="shared" si="0"/>
        <v>0.14699999999999999</v>
      </c>
    </row>
    <row r="63" spans="1:9" x14ac:dyDescent="0.35">
      <c r="A63" t="s">
        <v>91</v>
      </c>
      <c r="B63" t="s">
        <v>39</v>
      </c>
      <c r="C63" t="s">
        <v>10</v>
      </c>
      <c r="D63">
        <v>2022</v>
      </c>
      <c r="E63" s="2">
        <v>55.1</v>
      </c>
      <c r="F63" s="4">
        <v>320</v>
      </c>
      <c r="G63">
        <v>10</v>
      </c>
      <c r="H63" s="1">
        <v>0.1</v>
      </c>
      <c r="I63" s="3">
        <f t="shared" si="0"/>
        <v>0.17218749999999999</v>
      </c>
    </row>
    <row r="64" spans="1:9" x14ac:dyDescent="0.35">
      <c r="A64" t="s">
        <v>92</v>
      </c>
      <c r="B64" t="s">
        <v>48</v>
      </c>
      <c r="C64" t="s">
        <v>15</v>
      </c>
      <c r="D64">
        <v>2021</v>
      </c>
      <c r="E64" s="2">
        <v>220.5</v>
      </c>
      <c r="F64" s="4">
        <v>1650</v>
      </c>
      <c r="G64">
        <v>1</v>
      </c>
      <c r="H64" s="1">
        <v>0.15</v>
      </c>
      <c r="I64" s="3">
        <f t="shared" si="0"/>
        <v>0.13363636363636364</v>
      </c>
    </row>
    <row r="65" spans="1:9" x14ac:dyDescent="0.35">
      <c r="A65" t="s">
        <v>93</v>
      </c>
      <c r="B65" t="s">
        <v>35</v>
      </c>
      <c r="C65" t="s">
        <v>10</v>
      </c>
      <c r="D65">
        <v>2024</v>
      </c>
      <c r="E65" s="2">
        <v>120.4</v>
      </c>
      <c r="F65" s="4">
        <v>1000</v>
      </c>
      <c r="G65">
        <v>4</v>
      </c>
      <c r="H65" s="1">
        <v>0.08</v>
      </c>
      <c r="I65" s="3">
        <f t="shared" si="0"/>
        <v>0.12040000000000001</v>
      </c>
    </row>
    <row r="66" spans="1:9" x14ac:dyDescent="0.35">
      <c r="A66" t="s">
        <v>94</v>
      </c>
      <c r="B66" t="s">
        <v>27</v>
      </c>
      <c r="C66" t="s">
        <v>15</v>
      </c>
      <c r="D66">
        <v>2023</v>
      </c>
      <c r="E66" s="2">
        <v>80</v>
      </c>
      <c r="F66" s="4">
        <v>500</v>
      </c>
      <c r="G66">
        <v>4</v>
      </c>
      <c r="H66" s="1">
        <v>0.1</v>
      </c>
      <c r="I66" s="3">
        <f t="shared" si="0"/>
        <v>0.16</v>
      </c>
    </row>
    <row r="67" spans="1:9" x14ac:dyDescent="0.35">
      <c r="A67" t="s">
        <v>95</v>
      </c>
      <c r="B67" t="s">
        <v>9</v>
      </c>
      <c r="C67" t="s">
        <v>10</v>
      </c>
      <c r="D67">
        <v>2022</v>
      </c>
      <c r="E67" s="2">
        <v>150.75</v>
      </c>
      <c r="F67" s="4">
        <v>1000</v>
      </c>
      <c r="G67">
        <v>5</v>
      </c>
      <c r="H67" s="1">
        <v>0.05</v>
      </c>
      <c r="I67" s="3">
        <f t="shared" ref="I67:I130" si="1">E67/F67</f>
        <v>0.15075</v>
      </c>
    </row>
    <row r="68" spans="1:9" x14ac:dyDescent="0.35">
      <c r="A68" t="s">
        <v>96</v>
      </c>
      <c r="B68" t="s">
        <v>37</v>
      </c>
      <c r="C68" t="s">
        <v>15</v>
      </c>
      <c r="D68">
        <v>2021</v>
      </c>
      <c r="E68" s="2">
        <v>40.299999999999997</v>
      </c>
      <c r="F68" s="4">
        <v>260</v>
      </c>
      <c r="G68">
        <v>5</v>
      </c>
      <c r="H68" s="1">
        <v>0.2</v>
      </c>
      <c r="I68" s="3">
        <f t="shared" si="1"/>
        <v>0.155</v>
      </c>
    </row>
    <row r="69" spans="1:9" x14ac:dyDescent="0.35">
      <c r="A69" t="s">
        <v>97</v>
      </c>
      <c r="B69" t="s">
        <v>43</v>
      </c>
      <c r="C69" t="s">
        <v>10</v>
      </c>
      <c r="D69">
        <v>2024</v>
      </c>
      <c r="E69" s="2">
        <v>85.2</v>
      </c>
      <c r="F69" s="4">
        <v>570</v>
      </c>
      <c r="G69">
        <v>7</v>
      </c>
      <c r="H69" s="1">
        <v>0.12</v>
      </c>
      <c r="I69" s="3">
        <f t="shared" si="1"/>
        <v>0.14947368421052631</v>
      </c>
    </row>
    <row r="70" spans="1:9" x14ac:dyDescent="0.35">
      <c r="A70" t="s">
        <v>98</v>
      </c>
      <c r="B70" t="s">
        <v>14</v>
      </c>
      <c r="C70" t="s">
        <v>15</v>
      </c>
      <c r="D70">
        <v>2023</v>
      </c>
      <c r="E70" s="2">
        <v>100.6</v>
      </c>
      <c r="F70" s="4">
        <v>700</v>
      </c>
      <c r="G70">
        <v>3</v>
      </c>
      <c r="H70" s="1">
        <v>0.1</v>
      </c>
      <c r="I70" s="3">
        <f t="shared" si="1"/>
        <v>0.14371428571428571</v>
      </c>
    </row>
    <row r="71" spans="1:9" x14ac:dyDescent="0.35">
      <c r="A71" t="s">
        <v>99</v>
      </c>
      <c r="B71" t="s">
        <v>50</v>
      </c>
      <c r="C71" t="s">
        <v>10</v>
      </c>
      <c r="D71">
        <v>2022</v>
      </c>
      <c r="E71" s="2">
        <v>30</v>
      </c>
      <c r="F71" s="4">
        <v>160</v>
      </c>
      <c r="G71">
        <v>12</v>
      </c>
      <c r="H71" s="1">
        <v>0.15</v>
      </c>
      <c r="I71" s="3">
        <f t="shared" si="1"/>
        <v>0.1875</v>
      </c>
    </row>
    <row r="72" spans="1:9" x14ac:dyDescent="0.35">
      <c r="A72" t="s">
        <v>100</v>
      </c>
      <c r="B72" t="s">
        <v>21</v>
      </c>
      <c r="C72" t="s">
        <v>10</v>
      </c>
      <c r="D72">
        <v>2021</v>
      </c>
      <c r="E72" s="2">
        <v>135.4</v>
      </c>
      <c r="F72" s="4">
        <v>900</v>
      </c>
      <c r="G72">
        <v>6</v>
      </c>
      <c r="H72" s="1">
        <v>0.08</v>
      </c>
      <c r="I72" s="3">
        <f t="shared" si="1"/>
        <v>0.15044444444444446</v>
      </c>
    </row>
    <row r="73" spans="1:9" x14ac:dyDescent="0.35">
      <c r="A73" t="s">
        <v>101</v>
      </c>
      <c r="B73" t="s">
        <v>23</v>
      </c>
      <c r="C73" t="s">
        <v>15</v>
      </c>
      <c r="D73">
        <v>2024</v>
      </c>
      <c r="E73" s="2">
        <v>115.5</v>
      </c>
      <c r="F73" s="4">
        <v>780</v>
      </c>
      <c r="G73">
        <v>3</v>
      </c>
      <c r="H73" s="1">
        <v>0.1</v>
      </c>
      <c r="I73" s="3">
        <f t="shared" si="1"/>
        <v>0.14807692307692308</v>
      </c>
    </row>
    <row r="74" spans="1:9" x14ac:dyDescent="0.35">
      <c r="A74" t="s">
        <v>102</v>
      </c>
      <c r="B74" t="s">
        <v>17</v>
      </c>
      <c r="C74" t="s">
        <v>10</v>
      </c>
      <c r="D74">
        <v>2023</v>
      </c>
      <c r="E74" s="2">
        <v>65.099999999999994</v>
      </c>
      <c r="F74" s="4">
        <v>390</v>
      </c>
      <c r="G74">
        <v>8</v>
      </c>
      <c r="H74" s="1">
        <v>0.05</v>
      </c>
      <c r="I74" s="3">
        <f t="shared" si="1"/>
        <v>0.1669230769230769</v>
      </c>
    </row>
    <row r="75" spans="1:9" x14ac:dyDescent="0.35">
      <c r="A75" t="s">
        <v>103</v>
      </c>
      <c r="B75" t="s">
        <v>19</v>
      </c>
      <c r="C75" t="s">
        <v>15</v>
      </c>
      <c r="D75">
        <v>2022</v>
      </c>
      <c r="E75" s="2">
        <v>70.25</v>
      </c>
      <c r="F75" s="4">
        <v>450</v>
      </c>
      <c r="G75">
        <v>4</v>
      </c>
      <c r="H75" s="1">
        <v>0.12</v>
      </c>
      <c r="I75" s="3">
        <f t="shared" si="1"/>
        <v>0.15611111111111112</v>
      </c>
    </row>
    <row r="76" spans="1:9" x14ac:dyDescent="0.35">
      <c r="A76" t="s">
        <v>104</v>
      </c>
      <c r="B76" t="s">
        <v>12</v>
      </c>
      <c r="C76" t="s">
        <v>10</v>
      </c>
      <c r="D76">
        <v>2021</v>
      </c>
      <c r="E76" s="2">
        <v>380</v>
      </c>
      <c r="F76" s="4">
        <v>2500</v>
      </c>
      <c r="G76">
        <v>2</v>
      </c>
      <c r="H76" s="1">
        <v>0.1</v>
      </c>
      <c r="I76" s="3">
        <f t="shared" si="1"/>
        <v>0.152</v>
      </c>
    </row>
    <row r="77" spans="1:9" x14ac:dyDescent="0.35">
      <c r="A77" t="s">
        <v>105</v>
      </c>
      <c r="B77" t="s">
        <v>31</v>
      </c>
      <c r="C77" t="s">
        <v>15</v>
      </c>
      <c r="D77">
        <v>2024</v>
      </c>
      <c r="E77" s="2">
        <v>130.75</v>
      </c>
      <c r="F77" s="4">
        <v>850</v>
      </c>
      <c r="G77">
        <v>2</v>
      </c>
      <c r="H77" s="1">
        <v>0.15</v>
      </c>
      <c r="I77" s="3">
        <f t="shared" si="1"/>
        <v>0.15382352941176469</v>
      </c>
    </row>
    <row r="78" spans="1:9" x14ac:dyDescent="0.35">
      <c r="A78" t="s">
        <v>106</v>
      </c>
      <c r="B78" t="s">
        <v>25</v>
      </c>
      <c r="C78" t="s">
        <v>10</v>
      </c>
      <c r="D78">
        <v>2023</v>
      </c>
      <c r="E78" s="2">
        <v>210.3</v>
      </c>
      <c r="F78" s="4">
        <v>1250</v>
      </c>
      <c r="G78">
        <v>3</v>
      </c>
      <c r="H78" s="1">
        <v>0.08</v>
      </c>
      <c r="I78" s="3">
        <f t="shared" si="1"/>
        <v>0.16824</v>
      </c>
    </row>
    <row r="79" spans="1:9" x14ac:dyDescent="0.35">
      <c r="A79" t="s">
        <v>107</v>
      </c>
      <c r="B79" t="s">
        <v>27</v>
      </c>
      <c r="C79" t="s">
        <v>15</v>
      </c>
      <c r="D79">
        <v>2022</v>
      </c>
      <c r="E79" s="2">
        <v>85.4</v>
      </c>
      <c r="F79" s="4">
        <v>520</v>
      </c>
      <c r="G79">
        <v>4</v>
      </c>
      <c r="H79" s="1">
        <v>0.1</v>
      </c>
      <c r="I79" s="3">
        <f t="shared" si="1"/>
        <v>0.16423076923076924</v>
      </c>
    </row>
    <row r="80" spans="1:9" x14ac:dyDescent="0.35">
      <c r="A80" t="s">
        <v>108</v>
      </c>
      <c r="B80" t="s">
        <v>29</v>
      </c>
      <c r="C80" t="s">
        <v>10</v>
      </c>
      <c r="D80">
        <v>2021</v>
      </c>
      <c r="E80" s="2">
        <v>95.5</v>
      </c>
      <c r="F80" s="4">
        <v>520</v>
      </c>
      <c r="G80">
        <v>8</v>
      </c>
      <c r="H80" s="1">
        <v>0.05</v>
      </c>
      <c r="I80" s="3">
        <f t="shared" si="1"/>
        <v>0.18365384615384617</v>
      </c>
    </row>
    <row r="81" spans="1:9" x14ac:dyDescent="0.35">
      <c r="A81" t="s">
        <v>109</v>
      </c>
      <c r="B81" t="s">
        <v>41</v>
      </c>
      <c r="C81" t="s">
        <v>15</v>
      </c>
      <c r="D81">
        <v>2024</v>
      </c>
      <c r="E81" s="2">
        <v>160.19999999999999</v>
      </c>
      <c r="F81" s="4">
        <v>1000</v>
      </c>
      <c r="G81">
        <v>2</v>
      </c>
      <c r="H81" s="1">
        <v>0.12</v>
      </c>
      <c r="I81" s="3">
        <f t="shared" si="1"/>
        <v>0.16019999999999998</v>
      </c>
    </row>
    <row r="82" spans="1:9" x14ac:dyDescent="0.35">
      <c r="A82" t="s">
        <v>110</v>
      </c>
      <c r="B82" t="s">
        <v>39</v>
      </c>
      <c r="C82" t="s">
        <v>10</v>
      </c>
      <c r="D82">
        <v>2023</v>
      </c>
      <c r="E82" s="2">
        <v>60</v>
      </c>
      <c r="F82" s="4">
        <v>340</v>
      </c>
      <c r="G82">
        <v>10</v>
      </c>
      <c r="H82" s="1">
        <v>0.1</v>
      </c>
      <c r="I82" s="3">
        <f t="shared" si="1"/>
        <v>0.17647058823529413</v>
      </c>
    </row>
    <row r="83" spans="1:9" x14ac:dyDescent="0.35">
      <c r="A83" t="s">
        <v>111</v>
      </c>
      <c r="B83" t="s">
        <v>48</v>
      </c>
      <c r="C83" t="s">
        <v>15</v>
      </c>
      <c r="D83">
        <v>2022</v>
      </c>
      <c r="E83" s="2">
        <v>230.1</v>
      </c>
      <c r="F83" s="4">
        <v>1700</v>
      </c>
      <c r="G83">
        <v>1</v>
      </c>
      <c r="H83" s="1">
        <v>0.15</v>
      </c>
      <c r="I83" s="3">
        <f t="shared" si="1"/>
        <v>0.13535294117647059</v>
      </c>
    </row>
    <row r="84" spans="1:9" x14ac:dyDescent="0.35">
      <c r="A84" t="s">
        <v>112</v>
      </c>
      <c r="B84" t="s">
        <v>35</v>
      </c>
      <c r="C84" t="s">
        <v>10</v>
      </c>
      <c r="D84">
        <v>2021</v>
      </c>
      <c r="E84" s="2">
        <v>125.75</v>
      </c>
      <c r="F84" s="4">
        <v>1050</v>
      </c>
      <c r="G84">
        <v>4</v>
      </c>
      <c r="H84" s="1">
        <v>0.08</v>
      </c>
      <c r="I84" s="3">
        <f t="shared" si="1"/>
        <v>0.11976190476190476</v>
      </c>
    </row>
    <row r="85" spans="1:9" x14ac:dyDescent="0.35">
      <c r="A85" t="s">
        <v>113</v>
      </c>
      <c r="B85" t="s">
        <v>37</v>
      </c>
      <c r="C85" t="s">
        <v>15</v>
      </c>
      <c r="D85">
        <v>2024</v>
      </c>
      <c r="E85" s="2">
        <v>45.3</v>
      </c>
      <c r="F85" s="4">
        <v>280</v>
      </c>
      <c r="G85">
        <v>5</v>
      </c>
      <c r="H85" s="1">
        <v>0.2</v>
      </c>
      <c r="I85" s="3">
        <f t="shared" si="1"/>
        <v>0.16178571428571428</v>
      </c>
    </row>
    <row r="86" spans="1:9" x14ac:dyDescent="0.35">
      <c r="A86" t="s">
        <v>114</v>
      </c>
      <c r="B86" t="s">
        <v>43</v>
      </c>
      <c r="C86" t="s">
        <v>10</v>
      </c>
      <c r="D86">
        <v>2023</v>
      </c>
      <c r="E86" s="2">
        <v>90.4</v>
      </c>
      <c r="F86" s="4">
        <v>600</v>
      </c>
      <c r="G86">
        <v>7</v>
      </c>
      <c r="H86" s="1">
        <v>0.1</v>
      </c>
      <c r="I86" s="3">
        <f t="shared" si="1"/>
        <v>0.15066666666666667</v>
      </c>
    </row>
    <row r="87" spans="1:9" x14ac:dyDescent="0.35">
      <c r="A87" t="s">
        <v>115</v>
      </c>
      <c r="B87" t="s">
        <v>14</v>
      </c>
      <c r="C87" t="s">
        <v>15</v>
      </c>
      <c r="D87">
        <v>2022</v>
      </c>
      <c r="E87" s="2">
        <v>105.5</v>
      </c>
      <c r="F87" s="4">
        <v>720</v>
      </c>
      <c r="G87">
        <v>3</v>
      </c>
      <c r="H87" s="1">
        <v>0.05</v>
      </c>
      <c r="I87" s="3">
        <f t="shared" si="1"/>
        <v>0.14652777777777778</v>
      </c>
    </row>
    <row r="88" spans="1:9" x14ac:dyDescent="0.35">
      <c r="A88" t="s">
        <v>116</v>
      </c>
      <c r="B88" t="s">
        <v>50</v>
      </c>
      <c r="C88" t="s">
        <v>10</v>
      </c>
      <c r="D88">
        <v>2021</v>
      </c>
      <c r="E88" s="2">
        <v>35.200000000000003</v>
      </c>
      <c r="F88" s="4">
        <v>180</v>
      </c>
      <c r="G88">
        <v>12</v>
      </c>
      <c r="H88" s="1">
        <v>0.12</v>
      </c>
      <c r="I88" s="3">
        <f t="shared" si="1"/>
        <v>0.19555555555555557</v>
      </c>
    </row>
    <row r="89" spans="1:9" x14ac:dyDescent="0.35">
      <c r="A89" t="s">
        <v>117</v>
      </c>
      <c r="B89" t="s">
        <v>21</v>
      </c>
      <c r="C89" t="s">
        <v>10</v>
      </c>
      <c r="D89">
        <v>2024</v>
      </c>
      <c r="E89" s="2">
        <v>140.6</v>
      </c>
      <c r="F89" s="4">
        <v>950</v>
      </c>
      <c r="G89">
        <v>6</v>
      </c>
      <c r="H89" s="1">
        <v>0.1</v>
      </c>
      <c r="I89" s="3">
        <f t="shared" si="1"/>
        <v>0.14799999999999999</v>
      </c>
    </row>
    <row r="90" spans="1:9" x14ac:dyDescent="0.35">
      <c r="A90" t="s">
        <v>118</v>
      </c>
      <c r="B90" t="s">
        <v>23</v>
      </c>
      <c r="C90" t="s">
        <v>15</v>
      </c>
      <c r="D90">
        <v>2023</v>
      </c>
      <c r="E90" s="2">
        <v>120</v>
      </c>
      <c r="F90" s="4">
        <v>800</v>
      </c>
      <c r="G90">
        <v>3</v>
      </c>
      <c r="H90" s="1">
        <v>0.08</v>
      </c>
      <c r="I90" s="3">
        <f t="shared" si="1"/>
        <v>0.15</v>
      </c>
    </row>
    <row r="91" spans="1:9" x14ac:dyDescent="0.35">
      <c r="A91" t="s">
        <v>119</v>
      </c>
      <c r="B91" t="s">
        <v>17</v>
      </c>
      <c r="C91" t="s">
        <v>10</v>
      </c>
      <c r="D91">
        <v>2022</v>
      </c>
      <c r="E91" s="2">
        <v>70.25</v>
      </c>
      <c r="F91" s="4">
        <v>410</v>
      </c>
      <c r="G91">
        <v>8</v>
      </c>
      <c r="H91" s="1">
        <v>0.15</v>
      </c>
      <c r="I91" s="3">
        <f t="shared" si="1"/>
        <v>0.17134146341463416</v>
      </c>
    </row>
    <row r="92" spans="1:9" x14ac:dyDescent="0.35">
      <c r="A92" t="s">
        <v>120</v>
      </c>
      <c r="B92" t="s">
        <v>12</v>
      </c>
      <c r="C92" t="s">
        <v>10</v>
      </c>
      <c r="D92">
        <v>2021</v>
      </c>
      <c r="E92" s="2">
        <v>390.75</v>
      </c>
      <c r="F92" s="4">
        <v>2600</v>
      </c>
      <c r="G92">
        <v>2</v>
      </c>
      <c r="H92" s="1">
        <v>0.1</v>
      </c>
      <c r="I92" s="3">
        <f t="shared" si="1"/>
        <v>0.15028846153846154</v>
      </c>
    </row>
    <row r="93" spans="1:9" x14ac:dyDescent="0.35">
      <c r="A93" t="s">
        <v>121</v>
      </c>
      <c r="B93" t="s">
        <v>19</v>
      </c>
      <c r="C93" t="s">
        <v>15</v>
      </c>
      <c r="D93">
        <v>2024</v>
      </c>
      <c r="E93" s="2">
        <v>75.099999999999994</v>
      </c>
      <c r="F93" s="4">
        <v>470</v>
      </c>
      <c r="G93">
        <v>4</v>
      </c>
      <c r="H93" s="1">
        <v>0.05</v>
      </c>
      <c r="I93" s="3">
        <f t="shared" si="1"/>
        <v>0.15978723404255318</v>
      </c>
    </row>
    <row r="94" spans="1:9" x14ac:dyDescent="0.35">
      <c r="A94" t="s">
        <v>122</v>
      </c>
      <c r="B94" t="s">
        <v>25</v>
      </c>
      <c r="C94" t="s">
        <v>10</v>
      </c>
      <c r="D94">
        <v>2023</v>
      </c>
      <c r="E94" s="2">
        <v>220.5</v>
      </c>
      <c r="F94" s="4">
        <v>1300</v>
      </c>
      <c r="G94">
        <v>3</v>
      </c>
      <c r="H94" s="1">
        <v>0.12</v>
      </c>
      <c r="I94" s="3">
        <f t="shared" si="1"/>
        <v>0.16961538461538461</v>
      </c>
    </row>
    <row r="95" spans="1:9" x14ac:dyDescent="0.35">
      <c r="A95" t="s">
        <v>123</v>
      </c>
      <c r="B95" t="s">
        <v>27</v>
      </c>
      <c r="C95" t="s">
        <v>15</v>
      </c>
      <c r="D95">
        <v>2022</v>
      </c>
      <c r="E95" s="2">
        <v>90.2</v>
      </c>
      <c r="F95" s="4">
        <v>550</v>
      </c>
      <c r="G95">
        <v>4</v>
      </c>
      <c r="H95" s="1">
        <v>0.1</v>
      </c>
      <c r="I95" s="3">
        <f t="shared" si="1"/>
        <v>0.16400000000000001</v>
      </c>
    </row>
    <row r="96" spans="1:9" x14ac:dyDescent="0.35">
      <c r="A96" t="s">
        <v>124</v>
      </c>
      <c r="B96" t="s">
        <v>9</v>
      </c>
      <c r="C96" t="s">
        <v>10</v>
      </c>
      <c r="D96">
        <v>2021</v>
      </c>
      <c r="E96" s="2">
        <v>155.4</v>
      </c>
      <c r="F96" s="4">
        <v>1020</v>
      </c>
      <c r="G96">
        <v>5</v>
      </c>
      <c r="H96" s="1">
        <v>0.08</v>
      </c>
      <c r="I96" s="3">
        <f t="shared" si="1"/>
        <v>0.15235294117647061</v>
      </c>
    </row>
    <row r="97" spans="1:9" x14ac:dyDescent="0.35">
      <c r="A97" t="s">
        <v>125</v>
      </c>
      <c r="B97" t="s">
        <v>31</v>
      </c>
      <c r="C97" t="s">
        <v>15</v>
      </c>
      <c r="D97">
        <v>2024</v>
      </c>
      <c r="E97" s="2">
        <v>135.30000000000001</v>
      </c>
      <c r="F97" s="4">
        <v>880</v>
      </c>
      <c r="G97">
        <v>2</v>
      </c>
      <c r="H97" s="1">
        <v>0.15</v>
      </c>
      <c r="I97" s="3">
        <f t="shared" si="1"/>
        <v>0.15375000000000003</v>
      </c>
    </row>
    <row r="98" spans="1:9" x14ac:dyDescent="0.35">
      <c r="A98" t="s">
        <v>126</v>
      </c>
      <c r="B98" t="s">
        <v>39</v>
      </c>
      <c r="C98" t="s">
        <v>10</v>
      </c>
      <c r="D98">
        <v>2023</v>
      </c>
      <c r="E98" s="2">
        <v>65</v>
      </c>
      <c r="F98" s="4">
        <v>360</v>
      </c>
      <c r="G98">
        <v>10</v>
      </c>
      <c r="H98" s="1">
        <v>0.1</v>
      </c>
      <c r="I98" s="3">
        <f t="shared" si="1"/>
        <v>0.18055555555555555</v>
      </c>
    </row>
    <row r="99" spans="1:9" x14ac:dyDescent="0.35">
      <c r="A99" t="s">
        <v>127</v>
      </c>
      <c r="B99" t="s">
        <v>41</v>
      </c>
      <c r="C99" t="s">
        <v>15</v>
      </c>
      <c r="D99">
        <v>2022</v>
      </c>
      <c r="E99" s="2">
        <v>170.75</v>
      </c>
      <c r="F99" s="4">
        <v>1050</v>
      </c>
      <c r="G99">
        <v>2</v>
      </c>
      <c r="H99" s="1">
        <v>0.05</v>
      </c>
      <c r="I99" s="3">
        <f t="shared" si="1"/>
        <v>0.16261904761904761</v>
      </c>
    </row>
    <row r="100" spans="1:9" x14ac:dyDescent="0.35">
      <c r="A100" t="s">
        <v>100</v>
      </c>
      <c r="B100" t="s">
        <v>43</v>
      </c>
      <c r="C100" t="s">
        <v>10</v>
      </c>
      <c r="D100">
        <v>2021</v>
      </c>
      <c r="E100" s="2">
        <v>95.6</v>
      </c>
      <c r="F100" s="4">
        <v>620</v>
      </c>
      <c r="G100">
        <v>7</v>
      </c>
      <c r="H100" s="1">
        <v>0.12</v>
      </c>
      <c r="I100" s="3">
        <f t="shared" si="1"/>
        <v>0.15419354838709676</v>
      </c>
    </row>
    <row r="101" spans="1:9" x14ac:dyDescent="0.35">
      <c r="A101" t="s">
        <v>101</v>
      </c>
      <c r="B101" t="s">
        <v>48</v>
      </c>
      <c r="C101" t="s">
        <v>15</v>
      </c>
      <c r="D101">
        <v>2024</v>
      </c>
      <c r="E101" s="2">
        <v>240</v>
      </c>
      <c r="F101" s="4">
        <v>1750</v>
      </c>
      <c r="G101">
        <v>1</v>
      </c>
      <c r="H101" s="1">
        <v>0.1</v>
      </c>
      <c r="I101" s="3">
        <f t="shared" si="1"/>
        <v>0.13714285714285715</v>
      </c>
    </row>
    <row r="102" spans="1:9" x14ac:dyDescent="0.35">
      <c r="A102" t="s">
        <v>102</v>
      </c>
      <c r="B102" t="s">
        <v>35</v>
      </c>
      <c r="C102" t="s">
        <v>10</v>
      </c>
      <c r="D102">
        <v>2023</v>
      </c>
      <c r="E102" s="2">
        <v>130.25</v>
      </c>
      <c r="F102" s="4">
        <v>1100</v>
      </c>
      <c r="G102">
        <v>4</v>
      </c>
      <c r="H102" s="1">
        <v>0.08</v>
      </c>
      <c r="I102" s="3">
        <f t="shared" si="1"/>
        <v>0.11840909090909091</v>
      </c>
    </row>
    <row r="103" spans="1:9" x14ac:dyDescent="0.35">
      <c r="A103" t="s">
        <v>103</v>
      </c>
      <c r="B103" t="s">
        <v>37</v>
      </c>
      <c r="C103" t="s">
        <v>15</v>
      </c>
      <c r="D103">
        <v>2022</v>
      </c>
      <c r="E103" s="2">
        <v>50.4</v>
      </c>
      <c r="F103" s="4">
        <v>300</v>
      </c>
      <c r="G103">
        <v>5</v>
      </c>
      <c r="H103" s="1">
        <v>0.2</v>
      </c>
      <c r="I103" s="3">
        <f t="shared" si="1"/>
        <v>0.16799999999999998</v>
      </c>
    </row>
    <row r="104" spans="1:9" x14ac:dyDescent="0.35">
      <c r="A104" t="s">
        <v>104</v>
      </c>
      <c r="B104" t="s">
        <v>50</v>
      </c>
      <c r="C104" t="s">
        <v>10</v>
      </c>
      <c r="D104">
        <v>2021</v>
      </c>
      <c r="E104" s="2">
        <v>40.1</v>
      </c>
      <c r="F104" s="4">
        <v>200</v>
      </c>
      <c r="G104">
        <v>12</v>
      </c>
      <c r="H104" s="1">
        <v>0.15</v>
      </c>
      <c r="I104" s="3">
        <f t="shared" si="1"/>
        <v>0.20050000000000001</v>
      </c>
    </row>
    <row r="105" spans="1:9" x14ac:dyDescent="0.35">
      <c r="A105" t="s">
        <v>105</v>
      </c>
      <c r="B105" t="s">
        <v>14</v>
      </c>
      <c r="C105" t="s">
        <v>15</v>
      </c>
      <c r="D105">
        <v>2024</v>
      </c>
      <c r="E105" s="2">
        <v>110.5</v>
      </c>
      <c r="F105" s="4">
        <v>750</v>
      </c>
      <c r="G105">
        <v>3</v>
      </c>
      <c r="H105" s="1">
        <v>0.1</v>
      </c>
      <c r="I105" s="3">
        <f t="shared" si="1"/>
        <v>0.14733333333333334</v>
      </c>
    </row>
    <row r="106" spans="1:9" x14ac:dyDescent="0.35">
      <c r="A106" t="s">
        <v>106</v>
      </c>
      <c r="B106" t="s">
        <v>17</v>
      </c>
      <c r="C106" t="s">
        <v>10</v>
      </c>
      <c r="D106">
        <v>2023</v>
      </c>
      <c r="E106" s="2">
        <v>75.2</v>
      </c>
      <c r="F106" s="4">
        <v>430</v>
      </c>
      <c r="G106">
        <v>8</v>
      </c>
      <c r="H106" s="1">
        <v>0.05</v>
      </c>
      <c r="I106" s="3">
        <f t="shared" si="1"/>
        <v>0.17488372093023258</v>
      </c>
    </row>
    <row r="107" spans="1:9" x14ac:dyDescent="0.35">
      <c r="A107" t="s">
        <v>107</v>
      </c>
      <c r="B107" t="s">
        <v>23</v>
      </c>
      <c r="C107" t="s">
        <v>15</v>
      </c>
      <c r="D107">
        <v>2022</v>
      </c>
      <c r="E107" s="2">
        <v>125.3</v>
      </c>
      <c r="F107" s="4">
        <v>820</v>
      </c>
      <c r="G107">
        <v>3</v>
      </c>
      <c r="H107" s="1">
        <v>0.12</v>
      </c>
      <c r="I107" s="3">
        <f t="shared" si="1"/>
        <v>0.15280487804878048</v>
      </c>
    </row>
    <row r="108" spans="1:9" x14ac:dyDescent="0.35">
      <c r="A108" t="s">
        <v>108</v>
      </c>
      <c r="B108" t="s">
        <v>12</v>
      </c>
      <c r="C108" t="s">
        <v>10</v>
      </c>
      <c r="D108">
        <v>2021</v>
      </c>
      <c r="E108" s="2">
        <v>400</v>
      </c>
      <c r="F108" s="4">
        <v>2700</v>
      </c>
      <c r="G108">
        <v>2</v>
      </c>
      <c r="H108" s="1">
        <v>0.1</v>
      </c>
      <c r="I108" s="3">
        <f t="shared" si="1"/>
        <v>0.14814814814814814</v>
      </c>
    </row>
    <row r="109" spans="1:9" x14ac:dyDescent="0.35">
      <c r="A109" t="s">
        <v>109</v>
      </c>
      <c r="B109" t="s">
        <v>19</v>
      </c>
      <c r="C109" t="s">
        <v>15</v>
      </c>
      <c r="D109">
        <v>2024</v>
      </c>
      <c r="E109" s="2">
        <v>80.75</v>
      </c>
      <c r="F109" s="4">
        <v>500</v>
      </c>
      <c r="G109">
        <v>4</v>
      </c>
      <c r="H109" s="1">
        <v>0.08</v>
      </c>
      <c r="I109" s="3">
        <f t="shared" si="1"/>
        <v>0.1615</v>
      </c>
    </row>
    <row r="110" spans="1:9" x14ac:dyDescent="0.35">
      <c r="A110" t="s">
        <v>110</v>
      </c>
      <c r="B110" t="s">
        <v>25</v>
      </c>
      <c r="C110" t="s">
        <v>10</v>
      </c>
      <c r="D110">
        <v>2023</v>
      </c>
      <c r="E110" s="2">
        <v>230.6</v>
      </c>
      <c r="F110" s="4">
        <v>1350</v>
      </c>
      <c r="G110">
        <v>3</v>
      </c>
      <c r="H110" s="1">
        <v>0.15</v>
      </c>
      <c r="I110" s="3">
        <f t="shared" si="1"/>
        <v>0.17081481481481481</v>
      </c>
    </row>
    <row r="111" spans="1:9" x14ac:dyDescent="0.35">
      <c r="A111" t="s">
        <v>111</v>
      </c>
      <c r="B111" t="s">
        <v>31</v>
      </c>
      <c r="C111" t="s">
        <v>15</v>
      </c>
      <c r="D111">
        <v>2022</v>
      </c>
      <c r="E111" s="2">
        <v>140.4</v>
      </c>
      <c r="F111" s="4">
        <v>900</v>
      </c>
      <c r="G111">
        <v>2</v>
      </c>
      <c r="H111" s="1">
        <v>0.1</v>
      </c>
      <c r="I111" s="3">
        <f t="shared" si="1"/>
        <v>0.156</v>
      </c>
    </row>
    <row r="112" spans="1:9" x14ac:dyDescent="0.35">
      <c r="A112" t="s">
        <v>112</v>
      </c>
      <c r="B112" t="s">
        <v>29</v>
      </c>
      <c r="C112" t="s">
        <v>10</v>
      </c>
      <c r="D112">
        <v>2021</v>
      </c>
      <c r="E112" s="2">
        <v>100.5</v>
      </c>
      <c r="F112" s="4">
        <v>550</v>
      </c>
      <c r="G112">
        <v>8</v>
      </c>
      <c r="H112" s="1">
        <v>0.05</v>
      </c>
      <c r="I112" s="3">
        <f t="shared" si="1"/>
        <v>0.18272727272727274</v>
      </c>
    </row>
    <row r="113" spans="1:9" x14ac:dyDescent="0.35">
      <c r="A113" t="s">
        <v>113</v>
      </c>
      <c r="B113" t="s">
        <v>27</v>
      </c>
      <c r="C113" t="s">
        <v>15</v>
      </c>
      <c r="D113">
        <v>2024</v>
      </c>
      <c r="E113" s="2">
        <v>95.1</v>
      </c>
      <c r="F113" s="4">
        <v>580</v>
      </c>
      <c r="G113">
        <v>4</v>
      </c>
      <c r="H113" s="1">
        <v>0.12</v>
      </c>
      <c r="I113" s="3">
        <f t="shared" si="1"/>
        <v>0.16396551724137931</v>
      </c>
    </row>
    <row r="114" spans="1:9" x14ac:dyDescent="0.35">
      <c r="A114" t="s">
        <v>114</v>
      </c>
      <c r="B114" t="s">
        <v>39</v>
      </c>
      <c r="C114" t="s">
        <v>10</v>
      </c>
      <c r="D114">
        <v>2023</v>
      </c>
      <c r="E114" s="2">
        <v>70.25</v>
      </c>
      <c r="F114" s="4">
        <v>380</v>
      </c>
      <c r="G114">
        <v>10</v>
      </c>
      <c r="H114" s="1">
        <v>0.1</v>
      </c>
      <c r="I114" s="3">
        <f t="shared" si="1"/>
        <v>0.18486842105263157</v>
      </c>
    </row>
    <row r="115" spans="1:9" x14ac:dyDescent="0.35">
      <c r="A115" t="s">
        <v>115</v>
      </c>
      <c r="B115" t="s">
        <v>41</v>
      </c>
      <c r="C115" t="s">
        <v>15</v>
      </c>
      <c r="D115">
        <v>2022</v>
      </c>
      <c r="E115" s="2">
        <v>180</v>
      </c>
      <c r="F115" s="4">
        <v>1100</v>
      </c>
      <c r="G115">
        <v>2</v>
      </c>
      <c r="H115" s="1">
        <v>0.15</v>
      </c>
      <c r="I115" s="3">
        <f t="shared" si="1"/>
        <v>0.16363636363636364</v>
      </c>
    </row>
    <row r="116" spans="1:9" x14ac:dyDescent="0.35">
      <c r="A116" t="s">
        <v>116</v>
      </c>
      <c r="B116" t="s">
        <v>43</v>
      </c>
      <c r="C116" t="s">
        <v>10</v>
      </c>
      <c r="D116">
        <v>2021</v>
      </c>
      <c r="E116" s="2">
        <v>100.75</v>
      </c>
      <c r="F116" s="4">
        <v>650</v>
      </c>
      <c r="G116">
        <v>7</v>
      </c>
      <c r="H116" s="1">
        <v>0.08</v>
      </c>
      <c r="I116" s="3">
        <f t="shared" si="1"/>
        <v>0.155</v>
      </c>
    </row>
    <row r="117" spans="1:9" x14ac:dyDescent="0.35">
      <c r="A117" t="s">
        <v>117</v>
      </c>
      <c r="B117" t="s">
        <v>48</v>
      </c>
      <c r="C117" t="s">
        <v>15</v>
      </c>
      <c r="D117">
        <v>2024</v>
      </c>
      <c r="E117" s="2">
        <v>250.2</v>
      </c>
      <c r="F117" s="4">
        <v>1800</v>
      </c>
      <c r="G117">
        <v>1</v>
      </c>
      <c r="H117" s="1">
        <v>0.1</v>
      </c>
      <c r="I117" s="3">
        <f t="shared" si="1"/>
        <v>0.13899999999999998</v>
      </c>
    </row>
    <row r="118" spans="1:9" x14ac:dyDescent="0.35">
      <c r="A118" t="s">
        <v>118</v>
      </c>
      <c r="B118" t="s">
        <v>35</v>
      </c>
      <c r="C118" t="s">
        <v>10</v>
      </c>
      <c r="D118">
        <v>2023</v>
      </c>
      <c r="E118" s="2">
        <v>135.4</v>
      </c>
      <c r="F118" s="4">
        <v>1150</v>
      </c>
      <c r="G118">
        <v>4</v>
      </c>
      <c r="H118" s="1">
        <v>0.05</v>
      </c>
      <c r="I118" s="3">
        <f t="shared" si="1"/>
        <v>0.11773913043478261</v>
      </c>
    </row>
    <row r="119" spans="1:9" x14ac:dyDescent="0.35">
      <c r="A119" t="s">
        <v>119</v>
      </c>
      <c r="B119" t="s">
        <v>37</v>
      </c>
      <c r="C119" t="s">
        <v>15</v>
      </c>
      <c r="D119">
        <v>2022</v>
      </c>
      <c r="E119" s="2">
        <v>55.3</v>
      </c>
      <c r="F119" s="4">
        <v>320</v>
      </c>
      <c r="G119">
        <v>5</v>
      </c>
      <c r="H119" s="1">
        <v>0.2</v>
      </c>
      <c r="I119" s="3">
        <f t="shared" si="1"/>
        <v>0.17281249999999998</v>
      </c>
    </row>
    <row r="120" spans="1:9" x14ac:dyDescent="0.35">
      <c r="A120" t="s">
        <v>120</v>
      </c>
      <c r="B120" t="s">
        <v>50</v>
      </c>
      <c r="C120" t="s">
        <v>10</v>
      </c>
      <c r="D120">
        <v>2021</v>
      </c>
      <c r="E120" s="2">
        <v>45</v>
      </c>
      <c r="F120" s="4">
        <v>220</v>
      </c>
      <c r="G120">
        <v>12</v>
      </c>
      <c r="H120" s="1">
        <v>0.12</v>
      </c>
      <c r="I120" s="3">
        <f t="shared" si="1"/>
        <v>0.20454545454545456</v>
      </c>
    </row>
    <row r="121" spans="1:9" x14ac:dyDescent="0.35">
      <c r="A121" t="s">
        <v>121</v>
      </c>
      <c r="B121" t="s">
        <v>14</v>
      </c>
      <c r="C121" t="s">
        <v>15</v>
      </c>
      <c r="D121">
        <v>2024</v>
      </c>
      <c r="E121" s="2">
        <v>115.5</v>
      </c>
      <c r="F121" s="4">
        <v>780</v>
      </c>
      <c r="G121">
        <v>3</v>
      </c>
      <c r="H121" s="1">
        <v>0.1</v>
      </c>
      <c r="I121" s="3">
        <f t="shared" si="1"/>
        <v>0.14807692307692308</v>
      </c>
    </row>
    <row r="122" spans="1:9" x14ac:dyDescent="0.35">
      <c r="A122" t="s">
        <v>122</v>
      </c>
      <c r="B122" t="s">
        <v>17</v>
      </c>
      <c r="C122" t="s">
        <v>10</v>
      </c>
      <c r="D122">
        <v>2023</v>
      </c>
      <c r="E122" s="2">
        <v>80.099999999999994</v>
      </c>
      <c r="F122" s="4">
        <v>450</v>
      </c>
      <c r="G122">
        <v>8</v>
      </c>
      <c r="H122" s="1">
        <v>0.08</v>
      </c>
      <c r="I122" s="3">
        <f t="shared" si="1"/>
        <v>0.17799999999999999</v>
      </c>
    </row>
    <row r="123" spans="1:9" x14ac:dyDescent="0.35">
      <c r="A123" t="s">
        <v>123</v>
      </c>
      <c r="B123" t="s">
        <v>23</v>
      </c>
      <c r="C123" t="s">
        <v>15</v>
      </c>
      <c r="D123">
        <v>2022</v>
      </c>
      <c r="E123" s="2">
        <v>130.25</v>
      </c>
      <c r="F123" s="4">
        <v>850</v>
      </c>
      <c r="G123">
        <v>3</v>
      </c>
      <c r="H123" s="1">
        <v>0.15</v>
      </c>
      <c r="I123" s="3">
        <f t="shared" si="1"/>
        <v>0.15323529411764705</v>
      </c>
    </row>
    <row r="124" spans="1:9" x14ac:dyDescent="0.35">
      <c r="A124" t="s">
        <v>124</v>
      </c>
      <c r="B124" t="s">
        <v>12</v>
      </c>
      <c r="C124" t="s">
        <v>10</v>
      </c>
      <c r="D124">
        <v>2021</v>
      </c>
      <c r="E124" s="2">
        <v>410.75</v>
      </c>
      <c r="F124" s="4">
        <v>2800</v>
      </c>
      <c r="G124">
        <v>2</v>
      </c>
      <c r="H124" s="1">
        <v>0.1</v>
      </c>
      <c r="I124" s="3">
        <f t="shared" si="1"/>
        <v>0.14669642857142856</v>
      </c>
    </row>
    <row r="125" spans="1:9" x14ac:dyDescent="0.35">
      <c r="A125" t="s">
        <v>125</v>
      </c>
      <c r="B125" t="s">
        <v>19</v>
      </c>
      <c r="C125" t="s">
        <v>15</v>
      </c>
      <c r="D125">
        <v>2024</v>
      </c>
      <c r="E125" s="2">
        <v>85.4</v>
      </c>
      <c r="F125" s="4">
        <v>520</v>
      </c>
      <c r="G125">
        <v>4</v>
      </c>
      <c r="H125" s="1">
        <v>0.05</v>
      </c>
      <c r="I125" s="3">
        <f t="shared" si="1"/>
        <v>0.16423076923076924</v>
      </c>
    </row>
    <row r="126" spans="1:9" x14ac:dyDescent="0.35">
      <c r="A126" t="s">
        <v>126</v>
      </c>
      <c r="B126" t="s">
        <v>25</v>
      </c>
      <c r="C126" t="s">
        <v>10</v>
      </c>
      <c r="D126">
        <v>2023</v>
      </c>
      <c r="E126" s="2">
        <v>240.6</v>
      </c>
      <c r="F126" s="4">
        <v>1400</v>
      </c>
      <c r="G126">
        <v>3</v>
      </c>
      <c r="H126" s="1">
        <v>0.12</v>
      </c>
      <c r="I126" s="3">
        <f t="shared" si="1"/>
        <v>0.17185714285714285</v>
      </c>
    </row>
    <row r="127" spans="1:9" x14ac:dyDescent="0.35">
      <c r="A127" t="s">
        <v>127</v>
      </c>
      <c r="B127" t="s">
        <v>31</v>
      </c>
      <c r="C127" t="s">
        <v>15</v>
      </c>
      <c r="D127">
        <v>2022</v>
      </c>
      <c r="E127" s="2">
        <v>145.30000000000001</v>
      </c>
      <c r="F127" s="4">
        <v>920</v>
      </c>
      <c r="G127">
        <v>2</v>
      </c>
      <c r="H127" s="1">
        <v>0.1</v>
      </c>
      <c r="I127" s="3">
        <f t="shared" si="1"/>
        <v>0.15793478260869567</v>
      </c>
    </row>
    <row r="128" spans="1:9" x14ac:dyDescent="0.35">
      <c r="A128" t="s">
        <v>100</v>
      </c>
      <c r="B128" t="s">
        <v>29</v>
      </c>
      <c r="C128" t="s">
        <v>10</v>
      </c>
      <c r="D128">
        <v>2021</v>
      </c>
      <c r="E128" s="2">
        <v>105.5</v>
      </c>
      <c r="F128" s="4">
        <v>580</v>
      </c>
      <c r="G128">
        <v>8</v>
      </c>
      <c r="H128" s="1">
        <v>0.08</v>
      </c>
      <c r="I128" s="3">
        <f t="shared" si="1"/>
        <v>0.18189655172413793</v>
      </c>
    </row>
    <row r="129" spans="1:9" x14ac:dyDescent="0.35">
      <c r="A129" t="s">
        <v>101</v>
      </c>
      <c r="B129" t="s">
        <v>27</v>
      </c>
      <c r="C129" t="s">
        <v>15</v>
      </c>
      <c r="D129">
        <v>2024</v>
      </c>
      <c r="E129" s="2">
        <v>100.2</v>
      </c>
      <c r="F129" s="4">
        <v>600</v>
      </c>
      <c r="G129">
        <v>4</v>
      </c>
      <c r="H129" s="1">
        <v>0.15</v>
      </c>
      <c r="I129" s="3">
        <f t="shared" si="1"/>
        <v>0.16700000000000001</v>
      </c>
    </row>
    <row r="130" spans="1:9" x14ac:dyDescent="0.35">
      <c r="A130" t="s">
        <v>102</v>
      </c>
      <c r="B130" t="s">
        <v>39</v>
      </c>
      <c r="C130" t="s">
        <v>10</v>
      </c>
      <c r="D130">
        <v>2023</v>
      </c>
      <c r="E130" s="2">
        <v>75</v>
      </c>
      <c r="F130" s="4">
        <v>400</v>
      </c>
      <c r="G130">
        <v>10</v>
      </c>
      <c r="H130" s="1">
        <v>0.1</v>
      </c>
      <c r="I130" s="3">
        <f t="shared" si="1"/>
        <v>0.1875</v>
      </c>
    </row>
    <row r="131" spans="1:9" x14ac:dyDescent="0.35">
      <c r="A131" t="s">
        <v>103</v>
      </c>
      <c r="B131" t="s">
        <v>41</v>
      </c>
      <c r="C131" t="s">
        <v>15</v>
      </c>
      <c r="D131">
        <v>2022</v>
      </c>
      <c r="E131" s="2">
        <v>190.75</v>
      </c>
      <c r="F131" s="4">
        <v>1150</v>
      </c>
      <c r="G131">
        <v>2</v>
      </c>
      <c r="H131" s="1">
        <v>0.05</v>
      </c>
      <c r="I131" s="3">
        <f t="shared" ref="I131:I188" si="2">E131/F131</f>
        <v>0.1658695652173913</v>
      </c>
    </row>
    <row r="132" spans="1:9" x14ac:dyDescent="0.35">
      <c r="A132" t="s">
        <v>104</v>
      </c>
      <c r="B132" t="s">
        <v>43</v>
      </c>
      <c r="C132" t="s">
        <v>10</v>
      </c>
      <c r="D132">
        <v>2021</v>
      </c>
      <c r="E132" s="2">
        <v>105.4</v>
      </c>
      <c r="F132" s="4">
        <v>680</v>
      </c>
      <c r="G132">
        <v>7</v>
      </c>
      <c r="H132" s="1">
        <v>0.12</v>
      </c>
      <c r="I132" s="3">
        <f t="shared" si="2"/>
        <v>0.155</v>
      </c>
    </row>
    <row r="133" spans="1:9" x14ac:dyDescent="0.35">
      <c r="A133" t="s">
        <v>105</v>
      </c>
      <c r="B133" t="s">
        <v>48</v>
      </c>
      <c r="C133" t="s">
        <v>15</v>
      </c>
      <c r="D133">
        <v>2024</v>
      </c>
      <c r="E133" s="2">
        <v>260.10000000000002</v>
      </c>
      <c r="F133" s="4">
        <v>1850</v>
      </c>
      <c r="G133">
        <v>1</v>
      </c>
      <c r="H133" s="1">
        <v>0.1</v>
      </c>
      <c r="I133" s="3">
        <f t="shared" si="2"/>
        <v>0.14059459459459461</v>
      </c>
    </row>
    <row r="134" spans="1:9" x14ac:dyDescent="0.35">
      <c r="A134" t="s">
        <v>106</v>
      </c>
      <c r="B134" t="s">
        <v>35</v>
      </c>
      <c r="C134" t="s">
        <v>10</v>
      </c>
      <c r="D134">
        <v>2023</v>
      </c>
      <c r="E134" s="2">
        <v>140.5</v>
      </c>
      <c r="F134" s="4">
        <v>1200</v>
      </c>
      <c r="G134">
        <v>4</v>
      </c>
      <c r="H134" s="1">
        <v>0.08</v>
      </c>
      <c r="I134" s="3">
        <f t="shared" si="2"/>
        <v>0.11708333333333333</v>
      </c>
    </row>
    <row r="135" spans="1:9" x14ac:dyDescent="0.35">
      <c r="A135" t="s">
        <v>107</v>
      </c>
      <c r="B135" t="s">
        <v>37</v>
      </c>
      <c r="C135" t="s">
        <v>15</v>
      </c>
      <c r="D135">
        <v>2022</v>
      </c>
      <c r="E135" s="2">
        <v>60.2</v>
      </c>
      <c r="F135" s="4">
        <v>340</v>
      </c>
      <c r="G135">
        <v>5</v>
      </c>
      <c r="H135" s="1">
        <v>0.2</v>
      </c>
      <c r="I135" s="3">
        <f t="shared" si="2"/>
        <v>0.17705882352941177</v>
      </c>
    </row>
    <row r="136" spans="1:9" x14ac:dyDescent="0.35">
      <c r="A136" t="s">
        <v>108</v>
      </c>
      <c r="B136" t="s">
        <v>50</v>
      </c>
      <c r="C136" t="s">
        <v>10</v>
      </c>
      <c r="D136">
        <v>2021</v>
      </c>
      <c r="E136" s="2">
        <v>50</v>
      </c>
      <c r="F136" s="4">
        <v>240</v>
      </c>
      <c r="G136">
        <v>12</v>
      </c>
      <c r="H136" s="1">
        <v>0.15</v>
      </c>
      <c r="I136" s="3">
        <f t="shared" si="2"/>
        <v>0.20833333333333334</v>
      </c>
    </row>
    <row r="137" spans="1:9" x14ac:dyDescent="0.35">
      <c r="A137" t="s">
        <v>109</v>
      </c>
      <c r="B137" t="s">
        <v>14</v>
      </c>
      <c r="C137" t="s">
        <v>15</v>
      </c>
      <c r="D137">
        <v>2024</v>
      </c>
      <c r="E137" s="2">
        <v>120.6</v>
      </c>
      <c r="F137" s="4">
        <v>800</v>
      </c>
      <c r="G137">
        <v>3</v>
      </c>
      <c r="H137" s="1">
        <v>0.1</v>
      </c>
      <c r="I137" s="3">
        <f t="shared" si="2"/>
        <v>0.15075</v>
      </c>
    </row>
    <row r="138" spans="1:9" x14ac:dyDescent="0.35">
      <c r="A138" t="s">
        <v>110</v>
      </c>
      <c r="B138" t="s">
        <v>17</v>
      </c>
      <c r="C138" t="s">
        <v>10</v>
      </c>
      <c r="D138">
        <v>2023</v>
      </c>
      <c r="E138" s="2">
        <v>85.25</v>
      </c>
      <c r="F138" s="4">
        <v>470</v>
      </c>
      <c r="G138">
        <v>8</v>
      </c>
      <c r="H138" s="1">
        <v>0.05</v>
      </c>
      <c r="I138" s="3">
        <f t="shared" si="2"/>
        <v>0.18138297872340425</v>
      </c>
    </row>
    <row r="139" spans="1:9" x14ac:dyDescent="0.35">
      <c r="A139" t="s">
        <v>111</v>
      </c>
      <c r="B139" t="s">
        <v>23</v>
      </c>
      <c r="C139" t="s">
        <v>15</v>
      </c>
      <c r="D139">
        <v>2022</v>
      </c>
      <c r="E139" s="2">
        <v>135.4</v>
      </c>
      <c r="F139" s="4">
        <v>880</v>
      </c>
      <c r="G139">
        <v>3</v>
      </c>
      <c r="H139" s="1">
        <v>0.12</v>
      </c>
      <c r="I139" s="3">
        <f t="shared" si="2"/>
        <v>0.15386363636363637</v>
      </c>
    </row>
    <row r="140" spans="1:9" x14ac:dyDescent="0.35">
      <c r="A140" t="s">
        <v>112</v>
      </c>
      <c r="B140" t="s">
        <v>12</v>
      </c>
      <c r="C140" t="s">
        <v>10</v>
      </c>
      <c r="D140">
        <v>2021</v>
      </c>
      <c r="E140" s="2">
        <v>420</v>
      </c>
      <c r="F140" s="4">
        <v>2900</v>
      </c>
      <c r="G140">
        <v>2</v>
      </c>
      <c r="H140" s="1">
        <v>0.1</v>
      </c>
      <c r="I140" s="3">
        <f t="shared" si="2"/>
        <v>0.14482758620689656</v>
      </c>
    </row>
    <row r="141" spans="1:9" x14ac:dyDescent="0.35">
      <c r="A141" t="s">
        <v>113</v>
      </c>
      <c r="B141" t="s">
        <v>19</v>
      </c>
      <c r="C141" t="s">
        <v>15</v>
      </c>
      <c r="D141">
        <v>2024</v>
      </c>
      <c r="E141" s="2">
        <v>90.1</v>
      </c>
      <c r="F141" s="4">
        <v>540</v>
      </c>
      <c r="G141">
        <v>4</v>
      </c>
      <c r="H141" s="1">
        <v>0.08</v>
      </c>
      <c r="I141" s="3">
        <f t="shared" si="2"/>
        <v>0.16685185185185183</v>
      </c>
    </row>
    <row r="142" spans="1:9" x14ac:dyDescent="0.35">
      <c r="A142" t="s">
        <v>114</v>
      </c>
      <c r="B142" t="s">
        <v>25</v>
      </c>
      <c r="C142" t="s">
        <v>10</v>
      </c>
      <c r="D142">
        <v>2023</v>
      </c>
      <c r="E142" s="2">
        <v>250.75</v>
      </c>
      <c r="F142" s="4">
        <v>1450</v>
      </c>
      <c r="G142">
        <v>3</v>
      </c>
      <c r="H142" s="1">
        <v>0.15</v>
      </c>
      <c r="I142" s="3">
        <f t="shared" si="2"/>
        <v>0.17293103448275862</v>
      </c>
    </row>
    <row r="143" spans="1:9" x14ac:dyDescent="0.35">
      <c r="A143" t="s">
        <v>115</v>
      </c>
      <c r="B143" t="s">
        <v>31</v>
      </c>
      <c r="C143" t="s">
        <v>15</v>
      </c>
      <c r="D143">
        <v>2022</v>
      </c>
      <c r="E143" s="2">
        <v>150.5</v>
      </c>
      <c r="F143" s="4">
        <v>950</v>
      </c>
      <c r="G143">
        <v>2</v>
      </c>
      <c r="H143" s="1">
        <v>0.1</v>
      </c>
      <c r="I143" s="3">
        <f t="shared" si="2"/>
        <v>0.15842105263157893</v>
      </c>
    </row>
    <row r="144" spans="1:9" x14ac:dyDescent="0.35">
      <c r="A144" t="s">
        <v>116</v>
      </c>
      <c r="B144" t="s">
        <v>29</v>
      </c>
      <c r="C144" t="s">
        <v>10</v>
      </c>
      <c r="D144">
        <v>2021</v>
      </c>
      <c r="E144" s="2">
        <v>110.2</v>
      </c>
      <c r="F144" s="4">
        <v>600</v>
      </c>
      <c r="G144">
        <v>8</v>
      </c>
      <c r="H144" s="1">
        <v>0.05</v>
      </c>
      <c r="I144" s="3">
        <f t="shared" si="2"/>
        <v>0.18366666666666667</v>
      </c>
    </row>
    <row r="145" spans="1:9" x14ac:dyDescent="0.35">
      <c r="A145" t="s">
        <v>117</v>
      </c>
      <c r="B145" t="s">
        <v>27</v>
      </c>
      <c r="C145" t="s">
        <v>15</v>
      </c>
      <c r="D145">
        <v>2024</v>
      </c>
      <c r="E145" s="2">
        <v>105.3</v>
      </c>
      <c r="F145" s="4">
        <v>620</v>
      </c>
      <c r="G145">
        <v>4</v>
      </c>
      <c r="H145" s="1">
        <v>0.12</v>
      </c>
      <c r="I145" s="3">
        <f t="shared" si="2"/>
        <v>0.16983870967741935</v>
      </c>
    </row>
    <row r="146" spans="1:9" x14ac:dyDescent="0.35">
      <c r="A146" t="s">
        <v>118</v>
      </c>
      <c r="B146" t="s">
        <v>39</v>
      </c>
      <c r="C146" t="s">
        <v>10</v>
      </c>
      <c r="D146">
        <v>2023</v>
      </c>
      <c r="E146" s="2">
        <v>80</v>
      </c>
      <c r="F146" s="4">
        <v>420</v>
      </c>
      <c r="G146">
        <v>10</v>
      </c>
      <c r="H146" s="1">
        <v>0.1</v>
      </c>
      <c r="I146" s="3">
        <f t="shared" si="2"/>
        <v>0.19047619047619047</v>
      </c>
    </row>
    <row r="147" spans="1:9" x14ac:dyDescent="0.35">
      <c r="A147" t="s">
        <v>119</v>
      </c>
      <c r="B147" t="s">
        <v>41</v>
      </c>
      <c r="C147" t="s">
        <v>15</v>
      </c>
      <c r="D147">
        <v>2022</v>
      </c>
      <c r="E147" s="2">
        <v>200</v>
      </c>
      <c r="F147" s="4">
        <v>1200</v>
      </c>
      <c r="G147">
        <v>2</v>
      </c>
      <c r="H147" s="1">
        <v>0.15</v>
      </c>
      <c r="I147" s="3">
        <f t="shared" si="2"/>
        <v>0.16666666666666666</v>
      </c>
    </row>
    <row r="148" spans="1:9" x14ac:dyDescent="0.35">
      <c r="A148" t="s">
        <v>120</v>
      </c>
      <c r="B148" t="s">
        <v>43</v>
      </c>
      <c r="C148" t="s">
        <v>10</v>
      </c>
      <c r="D148">
        <v>2021</v>
      </c>
      <c r="E148" s="2">
        <v>110.5</v>
      </c>
      <c r="F148" s="4">
        <v>700</v>
      </c>
      <c r="G148">
        <v>7</v>
      </c>
      <c r="H148" s="1">
        <v>0.08</v>
      </c>
      <c r="I148" s="3">
        <f t="shared" si="2"/>
        <v>0.15785714285714286</v>
      </c>
    </row>
    <row r="149" spans="1:9" x14ac:dyDescent="0.35">
      <c r="A149" t="s">
        <v>121</v>
      </c>
      <c r="B149" t="s">
        <v>48</v>
      </c>
      <c r="C149" t="s">
        <v>15</v>
      </c>
      <c r="D149">
        <v>2024</v>
      </c>
      <c r="E149" s="2">
        <v>270.75</v>
      </c>
      <c r="F149" s="4">
        <v>1900</v>
      </c>
      <c r="G149">
        <v>1</v>
      </c>
      <c r="H149" s="1">
        <v>0.1</v>
      </c>
      <c r="I149" s="3">
        <f t="shared" si="2"/>
        <v>0.14249999999999999</v>
      </c>
    </row>
    <row r="150" spans="1:9" x14ac:dyDescent="0.35">
      <c r="A150" t="s">
        <v>122</v>
      </c>
      <c r="B150" t="s">
        <v>35</v>
      </c>
      <c r="C150" t="s">
        <v>10</v>
      </c>
      <c r="D150">
        <v>2023</v>
      </c>
      <c r="E150" s="2">
        <v>145.6</v>
      </c>
      <c r="F150" s="4">
        <v>1250</v>
      </c>
      <c r="G150">
        <v>4</v>
      </c>
      <c r="H150" s="1">
        <v>0.05</v>
      </c>
      <c r="I150" s="3">
        <f t="shared" si="2"/>
        <v>0.11648</v>
      </c>
    </row>
    <row r="151" spans="1:9" x14ac:dyDescent="0.35">
      <c r="A151" t="s">
        <v>123</v>
      </c>
      <c r="B151" t="s">
        <v>37</v>
      </c>
      <c r="C151" t="s">
        <v>15</v>
      </c>
      <c r="D151">
        <v>2022</v>
      </c>
      <c r="E151" s="2">
        <v>65.099999999999994</v>
      </c>
      <c r="F151" s="4">
        <v>360</v>
      </c>
      <c r="G151">
        <v>5</v>
      </c>
      <c r="H151" s="1">
        <v>0.2</v>
      </c>
      <c r="I151" s="3">
        <f t="shared" si="2"/>
        <v>0.18083333333333332</v>
      </c>
    </row>
    <row r="152" spans="1:9" x14ac:dyDescent="0.35">
      <c r="A152" t="s">
        <v>124</v>
      </c>
      <c r="B152" t="s">
        <v>50</v>
      </c>
      <c r="C152" t="s">
        <v>10</v>
      </c>
      <c r="D152">
        <v>2021</v>
      </c>
      <c r="E152" s="2">
        <v>55.25</v>
      </c>
      <c r="F152" s="4">
        <v>260</v>
      </c>
      <c r="G152">
        <v>12</v>
      </c>
      <c r="H152" s="1">
        <v>0.15</v>
      </c>
      <c r="I152" s="3">
        <f t="shared" si="2"/>
        <v>0.21249999999999999</v>
      </c>
    </row>
    <row r="153" spans="1:9" x14ac:dyDescent="0.35">
      <c r="A153" t="s">
        <v>125</v>
      </c>
      <c r="B153" t="s">
        <v>14</v>
      </c>
      <c r="C153" t="s">
        <v>15</v>
      </c>
      <c r="D153">
        <v>2024</v>
      </c>
      <c r="E153" s="2">
        <v>125.4</v>
      </c>
      <c r="F153" s="4">
        <v>820</v>
      </c>
      <c r="G153">
        <v>3</v>
      </c>
      <c r="H153" s="1">
        <v>0.1</v>
      </c>
      <c r="I153" s="3">
        <f t="shared" si="2"/>
        <v>0.15292682926829268</v>
      </c>
    </row>
    <row r="154" spans="1:9" x14ac:dyDescent="0.35">
      <c r="A154" t="s">
        <v>126</v>
      </c>
      <c r="B154" t="s">
        <v>17</v>
      </c>
      <c r="C154" t="s">
        <v>10</v>
      </c>
      <c r="D154">
        <v>2023</v>
      </c>
      <c r="E154" s="2">
        <v>90.3</v>
      </c>
      <c r="F154" s="4">
        <v>490</v>
      </c>
      <c r="G154">
        <v>8</v>
      </c>
      <c r="H154" s="1">
        <v>0.08</v>
      </c>
      <c r="I154" s="3">
        <f t="shared" si="2"/>
        <v>0.18428571428571427</v>
      </c>
    </row>
    <row r="155" spans="1:9" x14ac:dyDescent="0.35">
      <c r="A155" t="s">
        <v>127</v>
      </c>
      <c r="B155" t="s">
        <v>23</v>
      </c>
      <c r="C155" t="s">
        <v>15</v>
      </c>
      <c r="D155">
        <v>2022</v>
      </c>
      <c r="E155" s="2">
        <v>140.5</v>
      </c>
      <c r="F155" s="4">
        <v>900</v>
      </c>
      <c r="G155">
        <v>3</v>
      </c>
      <c r="H155" s="1">
        <v>0.12</v>
      </c>
      <c r="I155" s="3">
        <f t="shared" si="2"/>
        <v>0.15611111111111112</v>
      </c>
    </row>
    <row r="156" spans="1:9" x14ac:dyDescent="0.35">
      <c r="A156" t="s">
        <v>100</v>
      </c>
      <c r="B156" t="s">
        <v>12</v>
      </c>
      <c r="C156" t="s">
        <v>10</v>
      </c>
      <c r="D156">
        <v>2021</v>
      </c>
      <c r="E156" s="2">
        <v>430.25</v>
      </c>
      <c r="F156" s="4">
        <v>3000</v>
      </c>
      <c r="G156">
        <v>2</v>
      </c>
      <c r="H156" s="1">
        <v>0.1</v>
      </c>
      <c r="I156" s="3">
        <f t="shared" si="2"/>
        <v>0.14341666666666666</v>
      </c>
    </row>
    <row r="157" spans="1:9" x14ac:dyDescent="0.35">
      <c r="A157" t="s">
        <v>101</v>
      </c>
      <c r="B157" t="s">
        <v>19</v>
      </c>
      <c r="C157" t="s">
        <v>15</v>
      </c>
      <c r="D157">
        <v>2024</v>
      </c>
      <c r="E157" s="2">
        <v>95.2</v>
      </c>
      <c r="F157" s="4">
        <v>560</v>
      </c>
      <c r="G157">
        <v>4</v>
      </c>
      <c r="H157" s="1">
        <v>0.05</v>
      </c>
      <c r="I157" s="3">
        <f t="shared" si="2"/>
        <v>0.17</v>
      </c>
    </row>
    <row r="158" spans="1:9" x14ac:dyDescent="0.35">
      <c r="A158" t="s">
        <v>102</v>
      </c>
      <c r="B158" t="s">
        <v>25</v>
      </c>
      <c r="C158" t="s">
        <v>10</v>
      </c>
      <c r="D158">
        <v>2023</v>
      </c>
      <c r="E158" s="2">
        <v>260.10000000000002</v>
      </c>
      <c r="F158" s="4">
        <v>1500</v>
      </c>
      <c r="G158">
        <v>3</v>
      </c>
      <c r="H158" s="1">
        <v>0.15</v>
      </c>
      <c r="I158" s="3">
        <f t="shared" si="2"/>
        <v>0.17340000000000003</v>
      </c>
    </row>
    <row r="159" spans="1:9" x14ac:dyDescent="0.35">
      <c r="A159" t="s">
        <v>103</v>
      </c>
      <c r="B159" t="s">
        <v>31</v>
      </c>
      <c r="C159" t="s">
        <v>15</v>
      </c>
      <c r="D159">
        <v>2022</v>
      </c>
      <c r="E159" s="2">
        <v>155.75</v>
      </c>
      <c r="F159" s="4">
        <v>980</v>
      </c>
      <c r="G159">
        <v>2</v>
      </c>
      <c r="H159" s="1">
        <v>0.1</v>
      </c>
      <c r="I159" s="3">
        <f t="shared" si="2"/>
        <v>0.15892857142857142</v>
      </c>
    </row>
    <row r="160" spans="1:9" x14ac:dyDescent="0.35">
      <c r="A160" t="s">
        <v>104</v>
      </c>
      <c r="B160" t="s">
        <v>29</v>
      </c>
      <c r="C160" t="s">
        <v>10</v>
      </c>
      <c r="D160">
        <v>2021</v>
      </c>
      <c r="E160" s="2">
        <v>115.4</v>
      </c>
      <c r="F160" s="4">
        <v>620</v>
      </c>
      <c r="G160">
        <v>8</v>
      </c>
      <c r="H160" s="1">
        <v>0.08</v>
      </c>
      <c r="I160" s="3">
        <f t="shared" si="2"/>
        <v>0.18612903225806451</v>
      </c>
    </row>
    <row r="161" spans="1:9" x14ac:dyDescent="0.35">
      <c r="A161" t="s">
        <v>105</v>
      </c>
      <c r="B161" t="s">
        <v>27</v>
      </c>
      <c r="C161" t="s">
        <v>15</v>
      </c>
      <c r="D161">
        <v>2024</v>
      </c>
      <c r="E161" s="2">
        <v>110.5</v>
      </c>
      <c r="F161" s="4">
        <v>640</v>
      </c>
      <c r="G161">
        <v>4</v>
      </c>
      <c r="H161" s="1">
        <v>0.12</v>
      </c>
      <c r="I161" s="3">
        <f t="shared" si="2"/>
        <v>0.17265625000000001</v>
      </c>
    </row>
    <row r="162" spans="1:9" x14ac:dyDescent="0.35">
      <c r="A162" t="s">
        <v>106</v>
      </c>
      <c r="B162" t="s">
        <v>39</v>
      </c>
      <c r="C162" t="s">
        <v>10</v>
      </c>
      <c r="D162">
        <v>2023</v>
      </c>
      <c r="E162" s="2">
        <v>85</v>
      </c>
      <c r="F162" s="4">
        <v>440</v>
      </c>
      <c r="G162">
        <v>10</v>
      </c>
      <c r="H162" s="1">
        <v>0.1</v>
      </c>
      <c r="I162" s="3">
        <f t="shared" si="2"/>
        <v>0.19318181818181818</v>
      </c>
    </row>
    <row r="163" spans="1:9" x14ac:dyDescent="0.35">
      <c r="A163" t="s">
        <v>107</v>
      </c>
      <c r="B163" t="s">
        <v>41</v>
      </c>
      <c r="C163" t="s">
        <v>15</v>
      </c>
      <c r="D163">
        <v>2022</v>
      </c>
      <c r="E163" s="2">
        <v>210.25</v>
      </c>
      <c r="F163" s="4">
        <v>1250</v>
      </c>
      <c r="G163">
        <v>2</v>
      </c>
      <c r="H163" s="1">
        <v>0.15</v>
      </c>
      <c r="I163" s="3">
        <f t="shared" si="2"/>
        <v>0.16819999999999999</v>
      </c>
    </row>
    <row r="164" spans="1:9" x14ac:dyDescent="0.35">
      <c r="A164" t="s">
        <v>108</v>
      </c>
      <c r="B164" t="s">
        <v>43</v>
      </c>
      <c r="C164" t="s">
        <v>10</v>
      </c>
      <c r="D164">
        <v>2021</v>
      </c>
      <c r="E164" s="2">
        <v>115.6</v>
      </c>
      <c r="F164" s="4">
        <v>720</v>
      </c>
      <c r="G164">
        <v>7</v>
      </c>
      <c r="H164" s="1">
        <v>0.08</v>
      </c>
      <c r="I164" s="3">
        <f t="shared" si="2"/>
        <v>0.16055555555555553</v>
      </c>
    </row>
    <row r="165" spans="1:9" x14ac:dyDescent="0.35">
      <c r="A165" t="s">
        <v>109</v>
      </c>
      <c r="B165" t="s">
        <v>48</v>
      </c>
      <c r="C165" t="s">
        <v>15</v>
      </c>
      <c r="D165">
        <v>2024</v>
      </c>
      <c r="E165" s="2">
        <v>280</v>
      </c>
      <c r="F165" s="4">
        <v>1950</v>
      </c>
      <c r="G165">
        <v>1</v>
      </c>
      <c r="H165" s="1">
        <v>0.1</v>
      </c>
      <c r="I165" s="3">
        <f t="shared" si="2"/>
        <v>0.14358974358974358</v>
      </c>
    </row>
    <row r="166" spans="1:9" x14ac:dyDescent="0.35">
      <c r="A166" t="s">
        <v>110</v>
      </c>
      <c r="B166" t="s">
        <v>35</v>
      </c>
      <c r="C166" t="s">
        <v>10</v>
      </c>
      <c r="D166">
        <v>2023</v>
      </c>
      <c r="E166" s="2">
        <v>150.75</v>
      </c>
      <c r="F166" s="4">
        <v>1300</v>
      </c>
      <c r="G166">
        <v>4</v>
      </c>
      <c r="H166" s="1">
        <v>0.05</v>
      </c>
      <c r="I166" s="3">
        <f t="shared" si="2"/>
        <v>0.11596153846153846</v>
      </c>
    </row>
    <row r="167" spans="1:9" x14ac:dyDescent="0.35">
      <c r="A167" t="s">
        <v>111</v>
      </c>
      <c r="B167" t="s">
        <v>37</v>
      </c>
      <c r="C167" t="s">
        <v>15</v>
      </c>
      <c r="D167">
        <v>2022</v>
      </c>
      <c r="E167" s="2">
        <v>70.2</v>
      </c>
      <c r="F167" s="4">
        <v>380</v>
      </c>
      <c r="G167">
        <v>5</v>
      </c>
      <c r="H167" s="1">
        <v>0.2</v>
      </c>
      <c r="I167" s="3">
        <f t="shared" si="2"/>
        <v>0.18473684210526317</v>
      </c>
    </row>
    <row r="168" spans="1:9" x14ac:dyDescent="0.35">
      <c r="A168" t="s">
        <v>112</v>
      </c>
      <c r="B168" t="s">
        <v>50</v>
      </c>
      <c r="C168" t="s">
        <v>10</v>
      </c>
      <c r="D168">
        <v>2021</v>
      </c>
      <c r="E168" s="2">
        <v>60.1</v>
      </c>
      <c r="F168" s="4">
        <v>280</v>
      </c>
      <c r="G168">
        <v>12</v>
      </c>
      <c r="H168" s="1">
        <v>0.15</v>
      </c>
      <c r="I168" s="3">
        <f t="shared" si="2"/>
        <v>0.21464285714285714</v>
      </c>
    </row>
    <row r="169" spans="1:9" x14ac:dyDescent="0.35">
      <c r="A169" t="s">
        <v>113</v>
      </c>
      <c r="B169" t="s">
        <v>14</v>
      </c>
      <c r="C169" t="s">
        <v>15</v>
      </c>
      <c r="D169">
        <v>2024</v>
      </c>
      <c r="E169" s="2">
        <v>130.5</v>
      </c>
      <c r="F169" s="4">
        <v>850</v>
      </c>
      <c r="G169">
        <v>3</v>
      </c>
      <c r="H169" s="1">
        <v>0.1</v>
      </c>
      <c r="I169" s="3">
        <f t="shared" si="2"/>
        <v>0.15352941176470589</v>
      </c>
    </row>
    <row r="170" spans="1:9" x14ac:dyDescent="0.35">
      <c r="A170" t="s">
        <v>114</v>
      </c>
      <c r="B170" t="s">
        <v>17</v>
      </c>
      <c r="C170" t="s">
        <v>10</v>
      </c>
      <c r="D170">
        <v>2023</v>
      </c>
      <c r="E170" s="2">
        <v>95.4</v>
      </c>
      <c r="F170" s="4">
        <v>510</v>
      </c>
      <c r="G170">
        <v>8</v>
      </c>
      <c r="H170" s="1">
        <v>0.08</v>
      </c>
      <c r="I170" s="3">
        <f t="shared" si="2"/>
        <v>0.18705882352941178</v>
      </c>
    </row>
    <row r="171" spans="1:9" x14ac:dyDescent="0.35">
      <c r="A171" t="s">
        <v>115</v>
      </c>
      <c r="B171" t="s">
        <v>23</v>
      </c>
      <c r="C171" t="s">
        <v>15</v>
      </c>
      <c r="D171">
        <v>2022</v>
      </c>
      <c r="E171" s="2">
        <v>145.6</v>
      </c>
      <c r="F171" s="4">
        <v>920</v>
      </c>
      <c r="G171">
        <v>3</v>
      </c>
      <c r="H171" s="1">
        <v>0.12</v>
      </c>
      <c r="I171" s="3">
        <f t="shared" si="2"/>
        <v>0.15826086956521737</v>
      </c>
    </row>
    <row r="172" spans="1:9" x14ac:dyDescent="0.35">
      <c r="A172" t="s">
        <v>116</v>
      </c>
      <c r="B172" t="s">
        <v>12</v>
      </c>
      <c r="C172" t="s">
        <v>10</v>
      </c>
      <c r="D172">
        <v>2021</v>
      </c>
      <c r="E172" s="2">
        <v>440</v>
      </c>
      <c r="F172" s="4">
        <v>3100</v>
      </c>
      <c r="G172">
        <v>2</v>
      </c>
      <c r="H172" s="1">
        <v>0.1</v>
      </c>
      <c r="I172" s="3">
        <f t="shared" si="2"/>
        <v>0.14193548387096774</v>
      </c>
    </row>
    <row r="173" spans="1:9" x14ac:dyDescent="0.35">
      <c r="A173" t="s">
        <v>117</v>
      </c>
      <c r="B173" t="s">
        <v>19</v>
      </c>
      <c r="C173" t="s">
        <v>15</v>
      </c>
      <c r="D173">
        <v>2024</v>
      </c>
      <c r="E173" s="2">
        <v>100.25</v>
      </c>
      <c r="F173" s="4">
        <v>580</v>
      </c>
      <c r="G173">
        <v>4</v>
      </c>
      <c r="H173" s="1">
        <v>0.05</v>
      </c>
      <c r="I173" s="3">
        <f t="shared" si="2"/>
        <v>0.1728448275862069</v>
      </c>
    </row>
    <row r="174" spans="1:9" x14ac:dyDescent="0.35">
      <c r="A174" t="s">
        <v>118</v>
      </c>
      <c r="B174" t="s">
        <v>25</v>
      </c>
      <c r="C174" t="s">
        <v>10</v>
      </c>
      <c r="D174">
        <v>2023</v>
      </c>
      <c r="E174" s="2">
        <v>270.3</v>
      </c>
      <c r="F174" s="4">
        <v>1550</v>
      </c>
      <c r="G174">
        <v>3</v>
      </c>
      <c r="H174" s="1">
        <v>0.15</v>
      </c>
      <c r="I174" s="3">
        <f t="shared" si="2"/>
        <v>0.17438709677419356</v>
      </c>
    </row>
    <row r="175" spans="1:9" x14ac:dyDescent="0.35">
      <c r="A175" t="s">
        <v>119</v>
      </c>
      <c r="B175" t="s">
        <v>31</v>
      </c>
      <c r="C175" t="s">
        <v>15</v>
      </c>
      <c r="D175">
        <v>2022</v>
      </c>
      <c r="E175" s="2">
        <v>160</v>
      </c>
      <c r="F175" s="4">
        <v>1000</v>
      </c>
      <c r="G175">
        <v>2</v>
      </c>
      <c r="H175" s="1">
        <v>0.1</v>
      </c>
      <c r="I175" s="3">
        <f t="shared" si="2"/>
        <v>0.16</v>
      </c>
    </row>
    <row r="176" spans="1:9" x14ac:dyDescent="0.35">
      <c r="A176" t="s">
        <v>120</v>
      </c>
      <c r="B176" t="s">
        <v>29</v>
      </c>
      <c r="C176" t="s">
        <v>10</v>
      </c>
      <c r="D176">
        <v>2021</v>
      </c>
      <c r="E176" s="2">
        <v>120.5</v>
      </c>
      <c r="F176" s="4">
        <v>640</v>
      </c>
      <c r="G176">
        <v>8</v>
      </c>
      <c r="H176" s="1">
        <v>0.08</v>
      </c>
      <c r="I176" s="3">
        <f t="shared" si="2"/>
        <v>0.18828125000000001</v>
      </c>
    </row>
    <row r="177" spans="1:9" x14ac:dyDescent="0.35">
      <c r="A177" t="s">
        <v>121</v>
      </c>
      <c r="B177" t="s">
        <v>27</v>
      </c>
      <c r="C177" t="s">
        <v>15</v>
      </c>
      <c r="D177">
        <v>2024</v>
      </c>
      <c r="E177" s="2">
        <v>115.75</v>
      </c>
      <c r="F177" s="4">
        <v>660</v>
      </c>
      <c r="G177">
        <v>4</v>
      </c>
      <c r="H177" s="1">
        <v>0.12</v>
      </c>
      <c r="I177" s="3">
        <f t="shared" si="2"/>
        <v>0.17537878787878788</v>
      </c>
    </row>
    <row r="178" spans="1:9" x14ac:dyDescent="0.35">
      <c r="A178" t="s">
        <v>122</v>
      </c>
      <c r="B178" t="s">
        <v>39</v>
      </c>
      <c r="C178" t="s">
        <v>10</v>
      </c>
      <c r="D178">
        <v>2023</v>
      </c>
      <c r="E178" s="2">
        <v>90.1</v>
      </c>
      <c r="F178" s="4">
        <v>460</v>
      </c>
      <c r="G178">
        <v>10</v>
      </c>
      <c r="H178" s="1">
        <v>0.1</v>
      </c>
      <c r="I178" s="3">
        <f t="shared" si="2"/>
        <v>0.19586956521739129</v>
      </c>
    </row>
    <row r="179" spans="1:9" x14ac:dyDescent="0.35">
      <c r="A179" t="s">
        <v>123</v>
      </c>
      <c r="B179" t="s">
        <v>41</v>
      </c>
      <c r="C179" t="s">
        <v>15</v>
      </c>
      <c r="D179">
        <v>2022</v>
      </c>
      <c r="E179" s="2">
        <v>220.4</v>
      </c>
      <c r="F179" s="4">
        <v>1300</v>
      </c>
      <c r="G179">
        <v>2</v>
      </c>
      <c r="H179" s="1">
        <v>0.15</v>
      </c>
      <c r="I179" s="3">
        <f t="shared" si="2"/>
        <v>0.16953846153846155</v>
      </c>
    </row>
    <row r="180" spans="1:9" x14ac:dyDescent="0.35">
      <c r="A180" t="s">
        <v>124</v>
      </c>
      <c r="B180" t="s">
        <v>43</v>
      </c>
      <c r="C180" t="s">
        <v>10</v>
      </c>
      <c r="D180">
        <v>2021</v>
      </c>
      <c r="E180" s="2">
        <v>120.75</v>
      </c>
      <c r="F180" s="4">
        <v>740</v>
      </c>
      <c r="G180">
        <v>7</v>
      </c>
      <c r="H180" s="1">
        <v>0.08</v>
      </c>
      <c r="I180" s="3">
        <f t="shared" si="2"/>
        <v>0.16317567567567567</v>
      </c>
    </row>
    <row r="181" spans="1:9" x14ac:dyDescent="0.35">
      <c r="A181" t="s">
        <v>125</v>
      </c>
      <c r="B181" t="s">
        <v>48</v>
      </c>
      <c r="C181" t="s">
        <v>15</v>
      </c>
      <c r="D181">
        <v>2024</v>
      </c>
      <c r="E181" s="2">
        <v>290.10000000000002</v>
      </c>
      <c r="F181" s="4">
        <v>2000</v>
      </c>
      <c r="G181">
        <v>1</v>
      </c>
      <c r="H181" s="1">
        <v>0.1</v>
      </c>
      <c r="I181" s="3">
        <f t="shared" si="2"/>
        <v>0.14505000000000001</v>
      </c>
    </row>
    <row r="182" spans="1:9" x14ac:dyDescent="0.35">
      <c r="A182" t="s">
        <v>126</v>
      </c>
      <c r="B182" t="s">
        <v>35</v>
      </c>
      <c r="C182" t="s">
        <v>10</v>
      </c>
      <c r="D182">
        <v>2023</v>
      </c>
      <c r="E182" s="2">
        <v>155.19999999999999</v>
      </c>
      <c r="F182" s="4">
        <v>1350</v>
      </c>
      <c r="G182">
        <v>4</v>
      </c>
      <c r="H182" s="1">
        <v>0.05</v>
      </c>
      <c r="I182" s="3">
        <f t="shared" si="2"/>
        <v>0.11496296296296296</v>
      </c>
    </row>
    <row r="183" spans="1:9" x14ac:dyDescent="0.35">
      <c r="A183" t="s">
        <v>127</v>
      </c>
      <c r="B183" t="s">
        <v>37</v>
      </c>
      <c r="C183" t="s">
        <v>15</v>
      </c>
      <c r="D183">
        <v>2022</v>
      </c>
      <c r="E183" s="2">
        <v>75.3</v>
      </c>
      <c r="F183" s="4">
        <v>400</v>
      </c>
      <c r="G183">
        <v>5</v>
      </c>
      <c r="H183" s="1">
        <v>0.2</v>
      </c>
      <c r="I183" s="3">
        <f t="shared" si="2"/>
        <v>0.18825</v>
      </c>
    </row>
    <row r="184" spans="1:9" x14ac:dyDescent="0.35">
      <c r="A184" t="s">
        <v>100</v>
      </c>
      <c r="B184" t="s">
        <v>50</v>
      </c>
      <c r="C184" t="s">
        <v>10</v>
      </c>
      <c r="D184">
        <v>2021</v>
      </c>
      <c r="E184" s="2">
        <v>65</v>
      </c>
      <c r="F184" s="4">
        <v>300</v>
      </c>
      <c r="G184">
        <v>12</v>
      </c>
      <c r="H184" s="1">
        <v>0.15</v>
      </c>
      <c r="I184" s="3">
        <f t="shared" si="2"/>
        <v>0.21666666666666667</v>
      </c>
    </row>
    <row r="185" spans="1:9" x14ac:dyDescent="0.35">
      <c r="A185" t="s">
        <v>101</v>
      </c>
      <c r="B185" t="s">
        <v>14</v>
      </c>
      <c r="C185" t="s">
        <v>15</v>
      </c>
      <c r="D185">
        <v>2024</v>
      </c>
      <c r="E185" s="2">
        <v>135.5</v>
      </c>
      <c r="F185" s="4">
        <v>880</v>
      </c>
      <c r="G185">
        <v>3</v>
      </c>
      <c r="H185" s="1">
        <v>0.1</v>
      </c>
      <c r="I185" s="3">
        <f t="shared" si="2"/>
        <v>0.15397727272727274</v>
      </c>
    </row>
    <row r="186" spans="1:9" x14ac:dyDescent="0.35">
      <c r="A186" t="s">
        <v>102</v>
      </c>
      <c r="B186" t="s">
        <v>17</v>
      </c>
      <c r="C186" t="s">
        <v>10</v>
      </c>
      <c r="D186">
        <v>2023</v>
      </c>
      <c r="E186" s="2">
        <v>100.25</v>
      </c>
      <c r="F186" s="4">
        <v>530</v>
      </c>
      <c r="G186">
        <v>8</v>
      </c>
      <c r="H186" s="1">
        <v>0.08</v>
      </c>
      <c r="I186" s="3">
        <f t="shared" si="2"/>
        <v>0.18915094339622643</v>
      </c>
    </row>
    <row r="187" spans="1:9" x14ac:dyDescent="0.35">
      <c r="A187" t="s">
        <v>103</v>
      </c>
      <c r="B187" t="s">
        <v>23</v>
      </c>
      <c r="C187" t="s">
        <v>15</v>
      </c>
      <c r="D187">
        <v>2022</v>
      </c>
      <c r="E187" s="2">
        <v>150.75</v>
      </c>
      <c r="F187" s="4">
        <v>950</v>
      </c>
      <c r="G187">
        <v>3</v>
      </c>
      <c r="H187" s="1">
        <v>0.12</v>
      </c>
      <c r="I187" s="3">
        <f t="shared" si="2"/>
        <v>0.15868421052631579</v>
      </c>
    </row>
    <row r="188" spans="1:9" x14ac:dyDescent="0.35">
      <c r="A188" t="s">
        <v>104</v>
      </c>
      <c r="B188" t="s">
        <v>12</v>
      </c>
      <c r="C188" t="s">
        <v>10</v>
      </c>
      <c r="D188">
        <v>2021</v>
      </c>
      <c r="E188" s="2">
        <v>450</v>
      </c>
      <c r="F188" s="4">
        <v>3200</v>
      </c>
      <c r="G188">
        <v>2</v>
      </c>
      <c r="H188" s="1">
        <v>0.1</v>
      </c>
      <c r="I188" s="3">
        <f t="shared" si="2"/>
        <v>0.140625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1ACB3-8FD6-4385-A69F-D43FF75FE4A5}">
  <dimension ref="A1:I188"/>
  <sheetViews>
    <sheetView workbookViewId="0">
      <selection activeCell="M16" sqref="M16"/>
    </sheetView>
  </sheetViews>
  <sheetFormatPr defaultRowHeight="14.5" x14ac:dyDescent="0.35"/>
  <cols>
    <col min="1" max="1" width="19.1796875" customWidth="1"/>
    <col min="2" max="2" width="15.36328125" customWidth="1"/>
    <col min="3" max="3" width="17.1796875" customWidth="1"/>
    <col min="5" max="5" width="9.08984375" style="2" bestFit="1" customWidth="1"/>
    <col min="6" max="6" width="11.54296875" style="4" bestFit="1" customWidth="1"/>
    <col min="7" max="7" width="9.7265625" customWidth="1"/>
    <col min="8" max="8" width="9.90625" style="1" customWidth="1"/>
    <col min="9" max="9" width="15.453125" style="3" customWidth="1"/>
  </cols>
  <sheetData>
    <row r="1" spans="1:9" x14ac:dyDescent="0.35">
      <c r="A1" t="s">
        <v>0</v>
      </c>
      <c r="B1" t="s">
        <v>1</v>
      </c>
      <c r="C1" t="s">
        <v>2</v>
      </c>
      <c r="D1" t="s">
        <v>3</v>
      </c>
      <c r="E1" s="2" t="s">
        <v>4</v>
      </c>
      <c r="F1" s="4" t="s">
        <v>5</v>
      </c>
      <c r="G1" t="s">
        <v>6</v>
      </c>
      <c r="H1" s="1" t="s">
        <v>7</v>
      </c>
      <c r="I1" s="3" t="s">
        <v>128</v>
      </c>
    </row>
    <row r="2" spans="1:9" x14ac:dyDescent="0.35">
      <c r="A2" t="s">
        <v>8</v>
      </c>
      <c r="B2" t="s">
        <v>9</v>
      </c>
      <c r="C2" t="s">
        <v>10</v>
      </c>
      <c r="D2">
        <v>2023</v>
      </c>
      <c r="E2" s="2">
        <v>150.5</v>
      </c>
      <c r="F2" s="4">
        <v>1000</v>
      </c>
      <c r="G2">
        <v>5</v>
      </c>
      <c r="H2" s="1">
        <v>0.1</v>
      </c>
      <c r="I2" s="3">
        <f>E2/F2</f>
        <v>0.15049999999999999</v>
      </c>
    </row>
    <row r="3" spans="1:9" x14ac:dyDescent="0.35">
      <c r="A3" t="s">
        <v>11</v>
      </c>
      <c r="B3" t="s">
        <v>12</v>
      </c>
      <c r="C3" t="s">
        <v>10</v>
      </c>
      <c r="D3">
        <v>2022</v>
      </c>
      <c r="E3" s="2">
        <v>300.75</v>
      </c>
      <c r="F3" s="4">
        <v>2000</v>
      </c>
      <c r="G3">
        <v>3</v>
      </c>
      <c r="H3" s="1">
        <v>0.15</v>
      </c>
      <c r="I3" s="3">
        <f t="shared" ref="I3:I66" si="0">E3/F3</f>
        <v>0.15037500000000001</v>
      </c>
    </row>
    <row r="4" spans="1:9" x14ac:dyDescent="0.35">
      <c r="A4" t="s">
        <v>13</v>
      </c>
      <c r="B4" t="s">
        <v>14</v>
      </c>
      <c r="C4" t="s">
        <v>15</v>
      </c>
      <c r="D4">
        <v>2024</v>
      </c>
      <c r="E4" s="2">
        <v>75.2</v>
      </c>
      <c r="F4" s="4">
        <v>500</v>
      </c>
      <c r="G4">
        <v>2</v>
      </c>
      <c r="H4" s="1">
        <v>0.05</v>
      </c>
      <c r="I4" s="3">
        <f t="shared" si="0"/>
        <v>0.15040000000000001</v>
      </c>
    </row>
    <row r="5" spans="1:9" x14ac:dyDescent="0.35">
      <c r="A5" t="s">
        <v>16</v>
      </c>
      <c r="B5" t="s">
        <v>17</v>
      </c>
      <c r="C5" t="s">
        <v>10</v>
      </c>
      <c r="D5">
        <v>2023</v>
      </c>
      <c r="E5" s="2">
        <v>45.3</v>
      </c>
      <c r="F5" s="4">
        <v>300</v>
      </c>
      <c r="G5">
        <v>10</v>
      </c>
      <c r="H5" s="1">
        <v>0.2</v>
      </c>
      <c r="I5" s="3">
        <f t="shared" si="0"/>
        <v>0.151</v>
      </c>
    </row>
    <row r="6" spans="1:9" x14ac:dyDescent="0.35">
      <c r="A6" t="s">
        <v>18</v>
      </c>
      <c r="B6" t="s">
        <v>19</v>
      </c>
      <c r="C6" t="s">
        <v>15</v>
      </c>
      <c r="D6">
        <v>2021</v>
      </c>
      <c r="E6" s="2">
        <v>60</v>
      </c>
      <c r="F6" s="4">
        <v>400</v>
      </c>
      <c r="G6">
        <v>4</v>
      </c>
      <c r="H6" s="1">
        <v>0.1</v>
      </c>
      <c r="I6" s="3">
        <f t="shared" si="0"/>
        <v>0.15</v>
      </c>
    </row>
    <row r="7" spans="1:9" x14ac:dyDescent="0.35">
      <c r="A7" t="s">
        <v>20</v>
      </c>
      <c r="B7" t="s">
        <v>21</v>
      </c>
      <c r="C7" t="s">
        <v>10</v>
      </c>
      <c r="D7">
        <v>2022</v>
      </c>
      <c r="E7" s="2">
        <v>120</v>
      </c>
      <c r="F7" s="4">
        <v>800</v>
      </c>
      <c r="G7">
        <v>6</v>
      </c>
      <c r="H7" s="1">
        <v>0.12</v>
      </c>
      <c r="I7" s="3">
        <f t="shared" si="0"/>
        <v>0.15</v>
      </c>
    </row>
    <row r="8" spans="1:9" x14ac:dyDescent="0.35">
      <c r="A8" t="s">
        <v>22</v>
      </c>
      <c r="B8" t="s">
        <v>23</v>
      </c>
      <c r="C8" t="s">
        <v>15</v>
      </c>
      <c r="D8">
        <v>2023</v>
      </c>
      <c r="E8" s="2">
        <v>90.1</v>
      </c>
      <c r="F8" s="4">
        <v>600</v>
      </c>
      <c r="G8">
        <v>3</v>
      </c>
      <c r="H8" s="1">
        <v>0.08</v>
      </c>
      <c r="I8" s="3">
        <f t="shared" si="0"/>
        <v>0.15016666666666667</v>
      </c>
    </row>
    <row r="9" spans="1:9" x14ac:dyDescent="0.35">
      <c r="A9" t="s">
        <v>24</v>
      </c>
      <c r="B9" t="s">
        <v>25</v>
      </c>
      <c r="C9" t="s">
        <v>10</v>
      </c>
      <c r="D9">
        <v>2024</v>
      </c>
      <c r="E9" s="2">
        <v>200.25</v>
      </c>
      <c r="F9" s="4">
        <v>1200</v>
      </c>
      <c r="G9">
        <v>2</v>
      </c>
      <c r="H9" s="1">
        <v>0.1</v>
      </c>
      <c r="I9" s="3">
        <f t="shared" si="0"/>
        <v>0.166875</v>
      </c>
    </row>
    <row r="10" spans="1:9" x14ac:dyDescent="0.35">
      <c r="A10" t="s">
        <v>26</v>
      </c>
      <c r="B10" t="s">
        <v>27</v>
      </c>
      <c r="C10" t="s">
        <v>15</v>
      </c>
      <c r="D10">
        <v>2021</v>
      </c>
      <c r="E10" s="2">
        <v>50.5</v>
      </c>
      <c r="F10" s="4">
        <v>350</v>
      </c>
      <c r="G10">
        <v>5</v>
      </c>
      <c r="H10" s="1">
        <v>0.15</v>
      </c>
      <c r="I10" s="3">
        <f t="shared" si="0"/>
        <v>0.14428571428571429</v>
      </c>
    </row>
    <row r="11" spans="1:9" x14ac:dyDescent="0.35">
      <c r="A11" t="s">
        <v>28</v>
      </c>
      <c r="B11" t="s">
        <v>29</v>
      </c>
      <c r="C11" t="s">
        <v>10</v>
      </c>
      <c r="D11">
        <v>2023</v>
      </c>
      <c r="E11" s="2">
        <v>80.400000000000006</v>
      </c>
      <c r="F11" s="4">
        <v>450</v>
      </c>
      <c r="G11">
        <v>8</v>
      </c>
      <c r="H11" s="1">
        <v>0.05</v>
      </c>
      <c r="I11" s="3">
        <f t="shared" si="0"/>
        <v>0.17866666666666667</v>
      </c>
    </row>
    <row r="12" spans="1:9" x14ac:dyDescent="0.35">
      <c r="A12" t="s">
        <v>30</v>
      </c>
      <c r="B12" t="s">
        <v>31</v>
      </c>
      <c r="C12" t="s">
        <v>15</v>
      </c>
      <c r="D12">
        <v>2022</v>
      </c>
      <c r="E12" s="2">
        <v>100</v>
      </c>
      <c r="F12" s="4">
        <v>700</v>
      </c>
      <c r="G12">
        <v>3</v>
      </c>
      <c r="H12" s="1">
        <v>0.1</v>
      </c>
      <c r="I12" s="3">
        <f t="shared" si="0"/>
        <v>0.14285714285714285</v>
      </c>
    </row>
    <row r="13" spans="1:9" x14ac:dyDescent="0.35">
      <c r="A13" t="s">
        <v>32</v>
      </c>
      <c r="B13" t="s">
        <v>33</v>
      </c>
      <c r="C13" t="s">
        <v>10</v>
      </c>
      <c r="D13">
        <v>2024</v>
      </c>
      <c r="E13" s="2">
        <v>30.2</v>
      </c>
      <c r="F13" s="4">
        <v>150</v>
      </c>
      <c r="G13">
        <v>12</v>
      </c>
      <c r="H13" s="1">
        <v>0.2</v>
      </c>
      <c r="I13" s="3">
        <f t="shared" si="0"/>
        <v>0.20133333333333334</v>
      </c>
    </row>
    <row r="14" spans="1:9" x14ac:dyDescent="0.35">
      <c r="A14" t="s">
        <v>34</v>
      </c>
      <c r="B14" t="s">
        <v>35</v>
      </c>
      <c r="C14" t="s">
        <v>10</v>
      </c>
      <c r="D14">
        <v>2023</v>
      </c>
      <c r="E14" s="2">
        <v>110.75</v>
      </c>
      <c r="F14" s="4">
        <v>900</v>
      </c>
      <c r="G14">
        <v>4</v>
      </c>
      <c r="H14" s="1">
        <v>0.15</v>
      </c>
      <c r="I14" s="3">
        <f t="shared" si="0"/>
        <v>0.12305555555555556</v>
      </c>
    </row>
    <row r="15" spans="1:9" x14ac:dyDescent="0.35">
      <c r="A15" t="s">
        <v>36</v>
      </c>
      <c r="B15" t="s">
        <v>37</v>
      </c>
      <c r="C15" t="s">
        <v>15</v>
      </c>
      <c r="D15">
        <v>2022</v>
      </c>
      <c r="E15" s="2">
        <v>25.3</v>
      </c>
      <c r="F15" s="4">
        <v>200</v>
      </c>
      <c r="G15">
        <v>6</v>
      </c>
      <c r="H15" s="1">
        <v>0.05</v>
      </c>
      <c r="I15" s="3">
        <f t="shared" si="0"/>
        <v>0.1265</v>
      </c>
    </row>
    <row r="16" spans="1:9" x14ac:dyDescent="0.35">
      <c r="A16" t="s">
        <v>38</v>
      </c>
      <c r="B16" t="s">
        <v>39</v>
      </c>
      <c r="C16" t="s">
        <v>10</v>
      </c>
      <c r="D16">
        <v>2021</v>
      </c>
      <c r="E16" s="2">
        <v>40</v>
      </c>
      <c r="F16" s="4">
        <v>250</v>
      </c>
      <c r="G16">
        <v>10</v>
      </c>
      <c r="H16" s="1">
        <v>0.1</v>
      </c>
      <c r="I16" s="3">
        <f t="shared" si="0"/>
        <v>0.16</v>
      </c>
    </row>
    <row r="17" spans="1:9" x14ac:dyDescent="0.35">
      <c r="A17" t="s">
        <v>40</v>
      </c>
      <c r="B17" t="s">
        <v>41</v>
      </c>
      <c r="C17" t="s">
        <v>15</v>
      </c>
      <c r="D17">
        <v>2024</v>
      </c>
      <c r="E17" s="2">
        <v>130.5</v>
      </c>
      <c r="F17" s="4">
        <v>850</v>
      </c>
      <c r="G17">
        <v>2</v>
      </c>
      <c r="H17" s="1">
        <v>0.12</v>
      </c>
      <c r="I17" s="3">
        <f t="shared" si="0"/>
        <v>0.15352941176470589</v>
      </c>
    </row>
    <row r="18" spans="1:9" x14ac:dyDescent="0.35">
      <c r="A18" t="s">
        <v>42</v>
      </c>
      <c r="B18" t="s">
        <v>43</v>
      </c>
      <c r="C18" t="s">
        <v>10</v>
      </c>
      <c r="D18">
        <v>2023</v>
      </c>
      <c r="E18" s="2">
        <v>70.8</v>
      </c>
      <c r="F18" s="4">
        <v>500</v>
      </c>
      <c r="G18">
        <v>7</v>
      </c>
      <c r="H18" s="1">
        <v>0.08</v>
      </c>
      <c r="I18" s="3">
        <f t="shared" si="0"/>
        <v>0.1416</v>
      </c>
    </row>
    <row r="19" spans="1:9" x14ac:dyDescent="0.35">
      <c r="A19" t="s">
        <v>44</v>
      </c>
      <c r="B19" t="s">
        <v>14</v>
      </c>
      <c r="C19" t="s">
        <v>15</v>
      </c>
      <c r="D19">
        <v>2022</v>
      </c>
      <c r="E19" s="2">
        <v>85.6</v>
      </c>
      <c r="F19" s="4">
        <v>550</v>
      </c>
      <c r="G19">
        <v>3</v>
      </c>
      <c r="H19" s="1">
        <v>0.1</v>
      </c>
      <c r="I19" s="3">
        <f t="shared" si="0"/>
        <v>0.15563636363636363</v>
      </c>
    </row>
    <row r="20" spans="1:9" x14ac:dyDescent="0.35">
      <c r="A20" t="s">
        <v>45</v>
      </c>
      <c r="B20" t="s">
        <v>46</v>
      </c>
      <c r="C20" t="s">
        <v>10</v>
      </c>
      <c r="D20">
        <v>2021</v>
      </c>
      <c r="E20" s="2">
        <v>60.25</v>
      </c>
      <c r="F20" s="4">
        <v>400</v>
      </c>
      <c r="G20">
        <v>5</v>
      </c>
      <c r="H20" s="1">
        <v>0.15</v>
      </c>
      <c r="I20" s="3">
        <f t="shared" si="0"/>
        <v>0.15062500000000001</v>
      </c>
    </row>
    <row r="21" spans="1:9" x14ac:dyDescent="0.35">
      <c r="A21" t="s">
        <v>47</v>
      </c>
      <c r="B21" t="s">
        <v>48</v>
      </c>
      <c r="C21" t="s">
        <v>15</v>
      </c>
      <c r="D21">
        <v>2024</v>
      </c>
      <c r="E21" s="2">
        <v>200</v>
      </c>
      <c r="F21" s="4">
        <v>1500</v>
      </c>
      <c r="G21">
        <v>1</v>
      </c>
      <c r="H21" s="1">
        <v>0.05</v>
      </c>
      <c r="I21" s="3">
        <f t="shared" si="0"/>
        <v>0.13333333333333333</v>
      </c>
    </row>
    <row r="22" spans="1:9" x14ac:dyDescent="0.35">
      <c r="A22" t="s">
        <v>49</v>
      </c>
      <c r="B22" t="s">
        <v>50</v>
      </c>
      <c r="C22" t="s">
        <v>10</v>
      </c>
      <c r="D22">
        <v>2023</v>
      </c>
      <c r="E22" s="2">
        <v>15.1</v>
      </c>
      <c r="F22" s="4">
        <v>100</v>
      </c>
      <c r="G22">
        <v>15</v>
      </c>
      <c r="H22" s="1">
        <v>0.2</v>
      </c>
      <c r="I22" s="3">
        <f t="shared" si="0"/>
        <v>0.151</v>
      </c>
    </row>
    <row r="23" spans="1:9" x14ac:dyDescent="0.35">
      <c r="A23" t="s">
        <v>51</v>
      </c>
      <c r="B23" t="s">
        <v>23</v>
      </c>
      <c r="C23" t="s">
        <v>15</v>
      </c>
      <c r="D23">
        <v>2022</v>
      </c>
      <c r="E23" s="2">
        <v>95.4</v>
      </c>
      <c r="F23" s="4">
        <v>650</v>
      </c>
      <c r="G23">
        <v>3</v>
      </c>
      <c r="H23" s="1">
        <v>0.1</v>
      </c>
      <c r="I23" s="3">
        <f t="shared" si="0"/>
        <v>0.14676923076923079</v>
      </c>
    </row>
    <row r="24" spans="1:9" x14ac:dyDescent="0.35">
      <c r="A24" t="s">
        <v>52</v>
      </c>
      <c r="B24" t="s">
        <v>12</v>
      </c>
      <c r="C24" t="s">
        <v>10</v>
      </c>
      <c r="D24">
        <v>2021</v>
      </c>
      <c r="E24" s="2">
        <v>350.5</v>
      </c>
      <c r="F24" s="4">
        <v>2200</v>
      </c>
      <c r="G24">
        <v>2</v>
      </c>
      <c r="H24" s="1">
        <v>0.12</v>
      </c>
      <c r="I24" s="3">
        <f t="shared" si="0"/>
        <v>0.15931818181818183</v>
      </c>
    </row>
    <row r="25" spans="1:9" x14ac:dyDescent="0.35">
      <c r="A25" t="s">
        <v>53</v>
      </c>
      <c r="B25" t="s">
        <v>19</v>
      </c>
      <c r="C25" t="s">
        <v>15</v>
      </c>
      <c r="D25">
        <v>2024</v>
      </c>
      <c r="E25" s="2">
        <v>55.75</v>
      </c>
      <c r="F25" s="4">
        <v>380</v>
      </c>
      <c r="G25">
        <v>4</v>
      </c>
      <c r="H25" s="1">
        <v>0.08</v>
      </c>
      <c r="I25" s="3">
        <f t="shared" si="0"/>
        <v>0.14671052631578949</v>
      </c>
    </row>
    <row r="26" spans="1:9" x14ac:dyDescent="0.35">
      <c r="A26" t="s">
        <v>54</v>
      </c>
      <c r="B26" t="s">
        <v>9</v>
      </c>
      <c r="C26" t="s">
        <v>10</v>
      </c>
      <c r="D26">
        <v>2023</v>
      </c>
      <c r="E26" s="2">
        <v>140.19999999999999</v>
      </c>
      <c r="F26" s="4">
        <v>950</v>
      </c>
      <c r="G26">
        <v>5</v>
      </c>
      <c r="H26" s="1">
        <v>0.1</v>
      </c>
      <c r="I26" s="3">
        <f t="shared" si="0"/>
        <v>0.14757894736842103</v>
      </c>
    </row>
    <row r="27" spans="1:9" x14ac:dyDescent="0.35">
      <c r="A27" t="s">
        <v>55</v>
      </c>
      <c r="B27" t="s">
        <v>31</v>
      </c>
      <c r="C27" t="s">
        <v>15</v>
      </c>
      <c r="D27">
        <v>2022</v>
      </c>
      <c r="E27" s="2">
        <v>110.3</v>
      </c>
      <c r="F27" s="4">
        <v>750</v>
      </c>
      <c r="G27">
        <v>2</v>
      </c>
      <c r="H27" s="1">
        <v>0.15</v>
      </c>
      <c r="I27" s="3">
        <f t="shared" si="0"/>
        <v>0.14706666666666665</v>
      </c>
    </row>
    <row r="28" spans="1:9" x14ac:dyDescent="0.35">
      <c r="A28" t="s">
        <v>56</v>
      </c>
      <c r="B28" t="s">
        <v>17</v>
      </c>
      <c r="C28" t="s">
        <v>10</v>
      </c>
      <c r="D28">
        <v>2021</v>
      </c>
      <c r="E28" s="2">
        <v>50</v>
      </c>
      <c r="F28" s="4">
        <v>320</v>
      </c>
      <c r="G28">
        <v>8</v>
      </c>
      <c r="H28" s="1">
        <v>0.05</v>
      </c>
      <c r="I28" s="3">
        <f t="shared" si="0"/>
        <v>0.15625</v>
      </c>
    </row>
    <row r="29" spans="1:9" x14ac:dyDescent="0.35">
      <c r="A29" t="s">
        <v>57</v>
      </c>
      <c r="B29" t="s">
        <v>25</v>
      </c>
      <c r="C29" t="s">
        <v>10</v>
      </c>
      <c r="D29">
        <v>2024</v>
      </c>
      <c r="E29" s="2">
        <v>180.6</v>
      </c>
      <c r="F29" s="4">
        <v>1100</v>
      </c>
      <c r="G29">
        <v>3</v>
      </c>
      <c r="H29" s="1">
        <v>0.1</v>
      </c>
      <c r="I29" s="3">
        <f t="shared" si="0"/>
        <v>0.16418181818181818</v>
      </c>
    </row>
    <row r="30" spans="1:9" x14ac:dyDescent="0.35">
      <c r="A30" t="s">
        <v>58</v>
      </c>
      <c r="B30" t="s">
        <v>27</v>
      </c>
      <c r="C30" t="s">
        <v>15</v>
      </c>
      <c r="D30">
        <v>2023</v>
      </c>
      <c r="E30" s="2">
        <v>70.25</v>
      </c>
      <c r="F30" s="4">
        <v>450</v>
      </c>
      <c r="G30">
        <v>4</v>
      </c>
      <c r="H30" s="1">
        <v>0.12</v>
      </c>
      <c r="I30" s="3">
        <f t="shared" si="0"/>
        <v>0.15611111111111112</v>
      </c>
    </row>
    <row r="31" spans="1:9" x14ac:dyDescent="0.35">
      <c r="A31" t="s">
        <v>59</v>
      </c>
      <c r="B31" t="s">
        <v>21</v>
      </c>
      <c r="C31" t="s">
        <v>10</v>
      </c>
      <c r="D31">
        <v>2022</v>
      </c>
      <c r="E31" s="2">
        <v>130.80000000000001</v>
      </c>
      <c r="F31" s="4">
        <v>850</v>
      </c>
      <c r="G31">
        <v>6</v>
      </c>
      <c r="H31" s="1">
        <v>0.08</v>
      </c>
      <c r="I31" s="3">
        <f t="shared" si="0"/>
        <v>0.15388235294117647</v>
      </c>
    </row>
    <row r="32" spans="1:9" x14ac:dyDescent="0.35">
      <c r="A32" t="s">
        <v>60</v>
      </c>
      <c r="B32" t="s">
        <v>37</v>
      </c>
      <c r="C32" t="s">
        <v>15</v>
      </c>
      <c r="D32">
        <v>2021</v>
      </c>
      <c r="E32" s="2">
        <v>30.4</v>
      </c>
      <c r="F32" s="4">
        <v>220</v>
      </c>
      <c r="G32">
        <v>5</v>
      </c>
      <c r="H32" s="1">
        <v>0.2</v>
      </c>
      <c r="I32" s="3">
        <f t="shared" si="0"/>
        <v>0.13818181818181818</v>
      </c>
    </row>
    <row r="33" spans="1:9" x14ac:dyDescent="0.35">
      <c r="A33" t="s">
        <v>61</v>
      </c>
      <c r="B33" t="s">
        <v>39</v>
      </c>
      <c r="C33" t="s">
        <v>10</v>
      </c>
      <c r="D33">
        <v>2024</v>
      </c>
      <c r="E33" s="2">
        <v>45.1</v>
      </c>
      <c r="F33" s="4">
        <v>280</v>
      </c>
      <c r="G33">
        <v>10</v>
      </c>
      <c r="H33" s="1">
        <v>0.1</v>
      </c>
      <c r="I33" s="3">
        <f t="shared" si="0"/>
        <v>0.16107142857142859</v>
      </c>
    </row>
    <row r="34" spans="1:9" x14ac:dyDescent="0.35">
      <c r="A34" t="s">
        <v>62</v>
      </c>
      <c r="B34" t="s">
        <v>41</v>
      </c>
      <c r="C34" t="s">
        <v>15</v>
      </c>
      <c r="D34">
        <v>2023</v>
      </c>
      <c r="E34" s="2">
        <v>140</v>
      </c>
      <c r="F34" s="4">
        <v>900</v>
      </c>
      <c r="G34">
        <v>2</v>
      </c>
      <c r="H34" s="1">
        <v>0.15</v>
      </c>
      <c r="I34" s="3">
        <f t="shared" si="0"/>
        <v>0.15555555555555556</v>
      </c>
    </row>
    <row r="35" spans="1:9" x14ac:dyDescent="0.35">
      <c r="A35" t="s">
        <v>63</v>
      </c>
      <c r="B35" t="s">
        <v>43</v>
      </c>
      <c r="C35" t="s">
        <v>10</v>
      </c>
      <c r="D35">
        <v>2022</v>
      </c>
      <c r="E35" s="2">
        <v>75.5</v>
      </c>
      <c r="F35" s="4">
        <v>520</v>
      </c>
      <c r="G35">
        <v>7</v>
      </c>
      <c r="H35" s="1">
        <v>0.05</v>
      </c>
      <c r="I35" s="3">
        <f t="shared" si="0"/>
        <v>0.1451923076923077</v>
      </c>
    </row>
    <row r="36" spans="1:9" x14ac:dyDescent="0.35">
      <c r="A36" t="s">
        <v>64</v>
      </c>
      <c r="B36" t="s">
        <v>14</v>
      </c>
      <c r="C36" t="s">
        <v>15</v>
      </c>
      <c r="D36">
        <v>2021</v>
      </c>
      <c r="E36" s="2">
        <v>90.2</v>
      </c>
      <c r="F36" s="4">
        <v>600</v>
      </c>
      <c r="G36">
        <v>3</v>
      </c>
      <c r="H36" s="1">
        <v>0.1</v>
      </c>
      <c r="I36" s="3">
        <f t="shared" si="0"/>
        <v>0.15033333333333335</v>
      </c>
    </row>
    <row r="37" spans="1:9" x14ac:dyDescent="0.35">
      <c r="A37" t="s">
        <v>65</v>
      </c>
      <c r="B37" t="s">
        <v>29</v>
      </c>
      <c r="C37" t="s">
        <v>10</v>
      </c>
      <c r="D37">
        <v>2024</v>
      </c>
      <c r="E37" s="2">
        <v>85.3</v>
      </c>
      <c r="F37" s="4">
        <v>480</v>
      </c>
      <c r="G37">
        <v>8</v>
      </c>
      <c r="H37" s="1">
        <v>0.12</v>
      </c>
      <c r="I37" s="3">
        <f t="shared" si="0"/>
        <v>0.17770833333333333</v>
      </c>
    </row>
    <row r="38" spans="1:9" x14ac:dyDescent="0.35">
      <c r="A38" t="s">
        <v>66</v>
      </c>
      <c r="B38" t="s">
        <v>23</v>
      </c>
      <c r="C38" t="s">
        <v>15</v>
      </c>
      <c r="D38">
        <v>2023</v>
      </c>
      <c r="E38" s="2">
        <v>100.75</v>
      </c>
      <c r="F38" s="4">
        <v>700</v>
      </c>
      <c r="G38">
        <v>3</v>
      </c>
      <c r="H38" s="1">
        <v>0.08</v>
      </c>
      <c r="I38" s="3">
        <f t="shared" si="0"/>
        <v>0.14392857142857143</v>
      </c>
    </row>
    <row r="39" spans="1:9" x14ac:dyDescent="0.35">
      <c r="A39" t="s">
        <v>67</v>
      </c>
      <c r="B39" t="s">
        <v>50</v>
      </c>
      <c r="C39" t="s">
        <v>10</v>
      </c>
      <c r="D39">
        <v>2022</v>
      </c>
      <c r="E39" s="2">
        <v>20</v>
      </c>
      <c r="F39" s="4">
        <v>120</v>
      </c>
      <c r="G39">
        <v>12</v>
      </c>
      <c r="H39" s="1">
        <v>0.2</v>
      </c>
      <c r="I39" s="3">
        <f t="shared" si="0"/>
        <v>0.16666666666666666</v>
      </c>
    </row>
    <row r="40" spans="1:9" x14ac:dyDescent="0.35">
      <c r="A40" t="s">
        <v>68</v>
      </c>
      <c r="B40" t="s">
        <v>35</v>
      </c>
      <c r="C40" t="s">
        <v>10</v>
      </c>
      <c r="D40">
        <v>2021</v>
      </c>
      <c r="E40" s="2">
        <v>115.4</v>
      </c>
      <c r="F40" s="4">
        <v>950</v>
      </c>
      <c r="G40">
        <v>4</v>
      </c>
      <c r="H40" s="1">
        <v>0.1</v>
      </c>
      <c r="I40" s="3">
        <f t="shared" si="0"/>
        <v>0.12147368421052632</v>
      </c>
    </row>
    <row r="41" spans="1:9" x14ac:dyDescent="0.35">
      <c r="A41" t="s">
        <v>69</v>
      </c>
      <c r="B41" t="s">
        <v>48</v>
      </c>
      <c r="C41" t="s">
        <v>15</v>
      </c>
      <c r="D41">
        <v>2024</v>
      </c>
      <c r="E41" s="2">
        <v>210.5</v>
      </c>
      <c r="F41" s="4">
        <v>1600</v>
      </c>
      <c r="G41">
        <v>1</v>
      </c>
      <c r="H41" s="1">
        <v>0.05</v>
      </c>
      <c r="I41" s="3">
        <f t="shared" si="0"/>
        <v>0.1315625</v>
      </c>
    </row>
    <row r="42" spans="1:9" x14ac:dyDescent="0.35">
      <c r="A42" t="s">
        <v>70</v>
      </c>
      <c r="B42" t="s">
        <v>12</v>
      </c>
      <c r="C42" t="s">
        <v>10</v>
      </c>
      <c r="D42">
        <v>2023</v>
      </c>
      <c r="E42" s="2">
        <v>360.25</v>
      </c>
      <c r="F42" s="4">
        <v>2300</v>
      </c>
      <c r="G42">
        <v>2</v>
      </c>
      <c r="H42" s="1">
        <v>0.15</v>
      </c>
      <c r="I42" s="3">
        <f t="shared" si="0"/>
        <v>0.15663043478260869</v>
      </c>
    </row>
    <row r="43" spans="1:9" x14ac:dyDescent="0.35">
      <c r="A43" t="s">
        <v>71</v>
      </c>
      <c r="B43" t="s">
        <v>19</v>
      </c>
      <c r="C43" t="s">
        <v>15</v>
      </c>
      <c r="D43">
        <v>2022</v>
      </c>
      <c r="E43" s="2">
        <v>60.8</v>
      </c>
      <c r="F43" s="4">
        <v>400</v>
      </c>
      <c r="G43">
        <v>4</v>
      </c>
      <c r="H43" s="1">
        <v>0.1</v>
      </c>
      <c r="I43" s="3">
        <f t="shared" si="0"/>
        <v>0.152</v>
      </c>
    </row>
    <row r="44" spans="1:9" x14ac:dyDescent="0.35">
      <c r="A44" t="s">
        <v>72</v>
      </c>
      <c r="B44" t="s">
        <v>17</v>
      </c>
      <c r="C44" t="s">
        <v>10</v>
      </c>
      <c r="D44">
        <v>2021</v>
      </c>
      <c r="E44" s="2">
        <v>55.1</v>
      </c>
      <c r="F44" s="4">
        <v>350</v>
      </c>
      <c r="G44">
        <v>8</v>
      </c>
      <c r="H44" s="1">
        <v>0.12</v>
      </c>
      <c r="I44" s="3">
        <f t="shared" si="0"/>
        <v>0.15742857142857145</v>
      </c>
    </row>
    <row r="45" spans="1:9" x14ac:dyDescent="0.35">
      <c r="A45" t="s">
        <v>73</v>
      </c>
      <c r="B45" t="s">
        <v>31</v>
      </c>
      <c r="C45" t="s">
        <v>15</v>
      </c>
      <c r="D45">
        <v>2024</v>
      </c>
      <c r="E45" s="2">
        <v>120</v>
      </c>
      <c r="F45" s="4">
        <v>800</v>
      </c>
      <c r="G45">
        <v>2</v>
      </c>
      <c r="H45" s="1">
        <v>0.08</v>
      </c>
      <c r="I45" s="3">
        <f t="shared" si="0"/>
        <v>0.15</v>
      </c>
    </row>
    <row r="46" spans="1:9" x14ac:dyDescent="0.35">
      <c r="A46" t="s">
        <v>74</v>
      </c>
      <c r="B46" t="s">
        <v>25</v>
      </c>
      <c r="C46" t="s">
        <v>10</v>
      </c>
      <c r="D46">
        <v>2023</v>
      </c>
      <c r="E46" s="2">
        <v>190.6</v>
      </c>
      <c r="F46" s="4">
        <v>1150</v>
      </c>
      <c r="G46">
        <v>3</v>
      </c>
      <c r="H46" s="1">
        <v>0.1</v>
      </c>
      <c r="I46" s="3">
        <f t="shared" si="0"/>
        <v>0.16573913043478261</v>
      </c>
    </row>
    <row r="47" spans="1:9" x14ac:dyDescent="0.35">
      <c r="A47" t="s">
        <v>75</v>
      </c>
      <c r="B47" t="s">
        <v>27</v>
      </c>
      <c r="C47" t="s">
        <v>15</v>
      </c>
      <c r="D47">
        <v>2022</v>
      </c>
      <c r="E47" s="2">
        <v>75.25</v>
      </c>
      <c r="F47" s="4">
        <v>480</v>
      </c>
      <c r="G47">
        <v>4</v>
      </c>
      <c r="H47" s="1">
        <v>0.15</v>
      </c>
      <c r="I47" s="3">
        <f t="shared" si="0"/>
        <v>0.15677083333333333</v>
      </c>
    </row>
    <row r="48" spans="1:9" x14ac:dyDescent="0.35">
      <c r="A48" t="s">
        <v>76</v>
      </c>
      <c r="B48" t="s">
        <v>9</v>
      </c>
      <c r="C48" t="s">
        <v>10</v>
      </c>
      <c r="D48">
        <v>2021</v>
      </c>
      <c r="E48" s="2">
        <v>145.30000000000001</v>
      </c>
      <c r="F48" s="4">
        <v>970</v>
      </c>
      <c r="G48">
        <v>5</v>
      </c>
      <c r="H48" s="1">
        <v>0.05</v>
      </c>
      <c r="I48" s="3">
        <f t="shared" si="0"/>
        <v>0.1497938144329897</v>
      </c>
    </row>
    <row r="49" spans="1:9" x14ac:dyDescent="0.35">
      <c r="A49" t="s">
        <v>77</v>
      </c>
      <c r="B49" t="s">
        <v>23</v>
      </c>
      <c r="C49" t="s">
        <v>15</v>
      </c>
      <c r="D49">
        <v>2024</v>
      </c>
      <c r="E49" s="2">
        <v>105.4</v>
      </c>
      <c r="F49" s="4">
        <v>720</v>
      </c>
      <c r="G49">
        <v>3</v>
      </c>
      <c r="H49" s="1">
        <v>0.12</v>
      </c>
      <c r="I49" s="3">
        <f t="shared" si="0"/>
        <v>0.1463888888888889</v>
      </c>
    </row>
    <row r="50" spans="1:9" x14ac:dyDescent="0.35">
      <c r="A50" t="s">
        <v>78</v>
      </c>
      <c r="B50" t="s">
        <v>39</v>
      </c>
      <c r="C50" t="s">
        <v>10</v>
      </c>
      <c r="D50">
        <v>2023</v>
      </c>
      <c r="E50" s="2">
        <v>50</v>
      </c>
      <c r="F50" s="4">
        <v>300</v>
      </c>
      <c r="G50">
        <v>10</v>
      </c>
      <c r="H50" s="1">
        <v>0.1</v>
      </c>
      <c r="I50" s="3">
        <f t="shared" si="0"/>
        <v>0.16666666666666666</v>
      </c>
    </row>
    <row r="51" spans="1:9" x14ac:dyDescent="0.35">
      <c r="A51" t="s">
        <v>79</v>
      </c>
      <c r="B51" t="s">
        <v>37</v>
      </c>
      <c r="C51" t="s">
        <v>15</v>
      </c>
      <c r="D51">
        <v>2022</v>
      </c>
      <c r="E51" s="2">
        <v>35.200000000000003</v>
      </c>
      <c r="F51" s="4">
        <v>240</v>
      </c>
      <c r="G51">
        <v>5</v>
      </c>
      <c r="H51" s="1">
        <v>0.2</v>
      </c>
      <c r="I51" s="3">
        <f t="shared" si="0"/>
        <v>0.14666666666666667</v>
      </c>
    </row>
    <row r="52" spans="1:9" x14ac:dyDescent="0.35">
      <c r="A52" t="s">
        <v>80</v>
      </c>
      <c r="B52" t="s">
        <v>43</v>
      </c>
      <c r="C52" t="s">
        <v>10</v>
      </c>
      <c r="D52">
        <v>2021</v>
      </c>
      <c r="E52" s="2">
        <v>80.75</v>
      </c>
      <c r="F52" s="4">
        <v>550</v>
      </c>
      <c r="G52">
        <v>7</v>
      </c>
      <c r="H52" s="1">
        <v>0.08</v>
      </c>
      <c r="I52" s="3">
        <f t="shared" si="0"/>
        <v>0.14681818181818182</v>
      </c>
    </row>
    <row r="53" spans="1:9" x14ac:dyDescent="0.35">
      <c r="A53" t="s">
        <v>81</v>
      </c>
      <c r="B53" t="s">
        <v>41</v>
      </c>
      <c r="C53" t="s">
        <v>15</v>
      </c>
      <c r="D53">
        <v>2024</v>
      </c>
      <c r="E53" s="2">
        <v>150.1</v>
      </c>
      <c r="F53" s="4">
        <v>950</v>
      </c>
      <c r="G53">
        <v>2</v>
      </c>
      <c r="H53" s="1">
        <v>0.1</v>
      </c>
      <c r="I53" s="3">
        <f t="shared" si="0"/>
        <v>0.158</v>
      </c>
    </row>
    <row r="54" spans="1:9" x14ac:dyDescent="0.35">
      <c r="A54" t="s">
        <v>82</v>
      </c>
      <c r="B54" t="s">
        <v>50</v>
      </c>
      <c r="C54" t="s">
        <v>10</v>
      </c>
      <c r="D54">
        <v>2023</v>
      </c>
      <c r="E54" s="2">
        <v>25</v>
      </c>
      <c r="F54" s="4">
        <v>140</v>
      </c>
      <c r="G54">
        <v>12</v>
      </c>
      <c r="H54" s="1">
        <v>0.15</v>
      </c>
      <c r="I54" s="3">
        <f t="shared" si="0"/>
        <v>0.17857142857142858</v>
      </c>
    </row>
    <row r="55" spans="1:9" x14ac:dyDescent="0.35">
      <c r="A55" t="s">
        <v>83</v>
      </c>
      <c r="B55" t="s">
        <v>14</v>
      </c>
      <c r="C55" t="s">
        <v>15</v>
      </c>
      <c r="D55">
        <v>2022</v>
      </c>
      <c r="E55" s="2">
        <v>95.5</v>
      </c>
      <c r="F55" s="4">
        <v>650</v>
      </c>
      <c r="G55">
        <v>3</v>
      </c>
      <c r="H55" s="1">
        <v>0.05</v>
      </c>
      <c r="I55" s="3">
        <f t="shared" si="0"/>
        <v>0.14692307692307693</v>
      </c>
    </row>
    <row r="56" spans="1:9" x14ac:dyDescent="0.35">
      <c r="A56" t="s">
        <v>84</v>
      </c>
      <c r="B56" t="s">
        <v>29</v>
      </c>
      <c r="C56" t="s">
        <v>10</v>
      </c>
      <c r="D56">
        <v>2021</v>
      </c>
      <c r="E56" s="2">
        <v>90.4</v>
      </c>
      <c r="F56" s="4">
        <v>500</v>
      </c>
      <c r="G56">
        <v>8</v>
      </c>
      <c r="H56" s="1">
        <v>0.12</v>
      </c>
      <c r="I56" s="3">
        <f t="shared" si="0"/>
        <v>0.18080000000000002</v>
      </c>
    </row>
    <row r="57" spans="1:9" x14ac:dyDescent="0.35">
      <c r="A57" t="s">
        <v>85</v>
      </c>
      <c r="B57" t="s">
        <v>31</v>
      </c>
      <c r="C57" t="s">
        <v>15</v>
      </c>
      <c r="D57">
        <v>2024</v>
      </c>
      <c r="E57" s="2">
        <v>125.3</v>
      </c>
      <c r="F57" s="4">
        <v>820</v>
      </c>
      <c r="G57">
        <v>2</v>
      </c>
      <c r="H57" s="1">
        <v>0.1</v>
      </c>
      <c r="I57" s="3">
        <f t="shared" si="0"/>
        <v>0.15280487804878048</v>
      </c>
    </row>
    <row r="58" spans="1:9" x14ac:dyDescent="0.35">
      <c r="A58" t="s">
        <v>86</v>
      </c>
      <c r="B58" t="s">
        <v>17</v>
      </c>
      <c r="C58" t="s">
        <v>10</v>
      </c>
      <c r="D58">
        <v>2023</v>
      </c>
      <c r="E58" s="2">
        <v>60.2</v>
      </c>
      <c r="F58" s="4">
        <v>370</v>
      </c>
      <c r="G58">
        <v>8</v>
      </c>
      <c r="H58" s="1">
        <v>0.08</v>
      </c>
      <c r="I58" s="3">
        <f t="shared" si="0"/>
        <v>0.16270270270270271</v>
      </c>
    </row>
    <row r="59" spans="1:9" x14ac:dyDescent="0.35">
      <c r="A59" t="s">
        <v>87</v>
      </c>
      <c r="B59" t="s">
        <v>12</v>
      </c>
      <c r="C59" t="s">
        <v>10</v>
      </c>
      <c r="D59">
        <v>2022</v>
      </c>
      <c r="E59" s="2">
        <v>370</v>
      </c>
      <c r="F59" s="4">
        <v>2400</v>
      </c>
      <c r="G59">
        <v>2</v>
      </c>
      <c r="H59" s="1">
        <v>0.15</v>
      </c>
      <c r="I59" s="3">
        <f t="shared" si="0"/>
        <v>0.15416666666666667</v>
      </c>
    </row>
    <row r="60" spans="1:9" x14ac:dyDescent="0.35">
      <c r="A60" t="s">
        <v>88</v>
      </c>
      <c r="B60" t="s">
        <v>19</v>
      </c>
      <c r="C60" t="s">
        <v>15</v>
      </c>
      <c r="D60">
        <v>2021</v>
      </c>
      <c r="E60" s="2">
        <v>65.75</v>
      </c>
      <c r="F60" s="4">
        <v>420</v>
      </c>
      <c r="G60">
        <v>4</v>
      </c>
      <c r="H60" s="1">
        <v>0.1</v>
      </c>
      <c r="I60" s="3">
        <f t="shared" si="0"/>
        <v>0.15654761904761905</v>
      </c>
    </row>
    <row r="61" spans="1:9" x14ac:dyDescent="0.35">
      <c r="A61" t="s">
        <v>89</v>
      </c>
      <c r="B61" t="s">
        <v>25</v>
      </c>
      <c r="C61" t="s">
        <v>10</v>
      </c>
      <c r="D61">
        <v>2024</v>
      </c>
      <c r="E61" s="2">
        <v>200.6</v>
      </c>
      <c r="F61" s="4">
        <v>1200</v>
      </c>
      <c r="G61">
        <v>3</v>
      </c>
      <c r="H61" s="1">
        <v>0.05</v>
      </c>
      <c r="I61" s="3">
        <f t="shared" si="0"/>
        <v>0.16716666666666666</v>
      </c>
    </row>
    <row r="62" spans="1:9" x14ac:dyDescent="0.35">
      <c r="A62" t="s">
        <v>90</v>
      </c>
      <c r="B62" t="s">
        <v>23</v>
      </c>
      <c r="C62" t="s">
        <v>15</v>
      </c>
      <c r="D62">
        <v>2023</v>
      </c>
      <c r="E62" s="2">
        <v>110.25</v>
      </c>
      <c r="F62" s="4">
        <v>750</v>
      </c>
      <c r="G62">
        <v>3</v>
      </c>
      <c r="H62" s="1">
        <v>0.12</v>
      </c>
      <c r="I62" s="3">
        <f t="shared" si="0"/>
        <v>0.14699999999999999</v>
      </c>
    </row>
    <row r="63" spans="1:9" x14ac:dyDescent="0.35">
      <c r="A63" t="s">
        <v>91</v>
      </c>
      <c r="B63" t="s">
        <v>39</v>
      </c>
      <c r="C63" t="s">
        <v>10</v>
      </c>
      <c r="D63">
        <v>2022</v>
      </c>
      <c r="E63" s="2">
        <v>55.1</v>
      </c>
      <c r="F63" s="4">
        <v>320</v>
      </c>
      <c r="G63">
        <v>10</v>
      </c>
      <c r="H63" s="1">
        <v>0.1</v>
      </c>
      <c r="I63" s="3">
        <f t="shared" si="0"/>
        <v>0.17218749999999999</v>
      </c>
    </row>
    <row r="64" spans="1:9" x14ac:dyDescent="0.35">
      <c r="A64" t="s">
        <v>92</v>
      </c>
      <c r="B64" t="s">
        <v>48</v>
      </c>
      <c r="C64" t="s">
        <v>15</v>
      </c>
      <c r="D64">
        <v>2021</v>
      </c>
      <c r="E64" s="2">
        <v>220.5</v>
      </c>
      <c r="F64" s="4">
        <v>1650</v>
      </c>
      <c r="G64">
        <v>1</v>
      </c>
      <c r="H64" s="1">
        <v>0.15</v>
      </c>
      <c r="I64" s="3">
        <f t="shared" si="0"/>
        <v>0.13363636363636364</v>
      </c>
    </row>
    <row r="65" spans="1:9" x14ac:dyDescent="0.35">
      <c r="A65" t="s">
        <v>93</v>
      </c>
      <c r="B65" t="s">
        <v>35</v>
      </c>
      <c r="C65" t="s">
        <v>10</v>
      </c>
      <c r="D65">
        <v>2024</v>
      </c>
      <c r="E65" s="2">
        <v>120.4</v>
      </c>
      <c r="F65" s="4">
        <v>1000</v>
      </c>
      <c r="G65">
        <v>4</v>
      </c>
      <c r="H65" s="1">
        <v>0.08</v>
      </c>
      <c r="I65" s="3">
        <f t="shared" si="0"/>
        <v>0.12040000000000001</v>
      </c>
    </row>
    <row r="66" spans="1:9" x14ac:dyDescent="0.35">
      <c r="A66" t="s">
        <v>94</v>
      </c>
      <c r="B66" t="s">
        <v>27</v>
      </c>
      <c r="C66" t="s">
        <v>15</v>
      </c>
      <c r="D66">
        <v>2023</v>
      </c>
      <c r="E66" s="2">
        <v>80</v>
      </c>
      <c r="F66" s="4">
        <v>500</v>
      </c>
      <c r="G66">
        <v>4</v>
      </c>
      <c r="H66" s="1">
        <v>0.1</v>
      </c>
      <c r="I66" s="3">
        <f t="shared" si="0"/>
        <v>0.16</v>
      </c>
    </row>
    <row r="67" spans="1:9" x14ac:dyDescent="0.35">
      <c r="A67" t="s">
        <v>95</v>
      </c>
      <c r="B67" t="s">
        <v>9</v>
      </c>
      <c r="C67" t="s">
        <v>10</v>
      </c>
      <c r="D67">
        <v>2022</v>
      </c>
      <c r="E67" s="2">
        <v>150.75</v>
      </c>
      <c r="F67" s="4">
        <v>1000</v>
      </c>
      <c r="G67">
        <v>5</v>
      </c>
      <c r="H67" s="1">
        <v>0.05</v>
      </c>
      <c r="I67" s="3">
        <f t="shared" ref="I67:I130" si="1">E67/F67</f>
        <v>0.15075</v>
      </c>
    </row>
    <row r="68" spans="1:9" x14ac:dyDescent="0.35">
      <c r="A68" t="s">
        <v>96</v>
      </c>
      <c r="B68" t="s">
        <v>37</v>
      </c>
      <c r="C68" t="s">
        <v>15</v>
      </c>
      <c r="D68">
        <v>2021</v>
      </c>
      <c r="E68" s="2">
        <v>40.299999999999997</v>
      </c>
      <c r="F68" s="4">
        <v>260</v>
      </c>
      <c r="G68">
        <v>5</v>
      </c>
      <c r="H68" s="1">
        <v>0.2</v>
      </c>
      <c r="I68" s="3">
        <f t="shared" si="1"/>
        <v>0.155</v>
      </c>
    </row>
    <row r="69" spans="1:9" x14ac:dyDescent="0.35">
      <c r="A69" t="s">
        <v>97</v>
      </c>
      <c r="B69" t="s">
        <v>43</v>
      </c>
      <c r="C69" t="s">
        <v>10</v>
      </c>
      <c r="D69">
        <v>2024</v>
      </c>
      <c r="E69" s="2">
        <v>85.2</v>
      </c>
      <c r="F69" s="4">
        <v>570</v>
      </c>
      <c r="G69">
        <v>7</v>
      </c>
      <c r="H69" s="1">
        <v>0.12</v>
      </c>
      <c r="I69" s="3">
        <f t="shared" si="1"/>
        <v>0.14947368421052631</v>
      </c>
    </row>
    <row r="70" spans="1:9" x14ac:dyDescent="0.35">
      <c r="A70" t="s">
        <v>98</v>
      </c>
      <c r="B70" t="s">
        <v>14</v>
      </c>
      <c r="C70" t="s">
        <v>15</v>
      </c>
      <c r="D70">
        <v>2023</v>
      </c>
      <c r="E70" s="2">
        <v>100.6</v>
      </c>
      <c r="F70" s="4">
        <v>700</v>
      </c>
      <c r="G70">
        <v>3</v>
      </c>
      <c r="H70" s="1">
        <v>0.1</v>
      </c>
      <c r="I70" s="3">
        <f t="shared" si="1"/>
        <v>0.14371428571428571</v>
      </c>
    </row>
    <row r="71" spans="1:9" x14ac:dyDescent="0.35">
      <c r="A71" t="s">
        <v>99</v>
      </c>
      <c r="B71" t="s">
        <v>50</v>
      </c>
      <c r="C71" t="s">
        <v>10</v>
      </c>
      <c r="D71">
        <v>2022</v>
      </c>
      <c r="E71" s="2">
        <v>30</v>
      </c>
      <c r="F71" s="4">
        <v>160</v>
      </c>
      <c r="G71">
        <v>12</v>
      </c>
      <c r="H71" s="1">
        <v>0.15</v>
      </c>
      <c r="I71" s="3">
        <f t="shared" si="1"/>
        <v>0.1875</v>
      </c>
    </row>
    <row r="72" spans="1:9" x14ac:dyDescent="0.35">
      <c r="A72" t="s">
        <v>100</v>
      </c>
      <c r="B72" t="s">
        <v>21</v>
      </c>
      <c r="C72" t="s">
        <v>10</v>
      </c>
      <c r="D72">
        <v>2021</v>
      </c>
      <c r="E72" s="2">
        <v>135.4</v>
      </c>
      <c r="F72" s="4">
        <v>900</v>
      </c>
      <c r="G72">
        <v>6</v>
      </c>
      <c r="H72" s="1">
        <v>0.08</v>
      </c>
      <c r="I72" s="3">
        <f t="shared" si="1"/>
        <v>0.15044444444444446</v>
      </c>
    </row>
    <row r="73" spans="1:9" x14ac:dyDescent="0.35">
      <c r="A73" t="s">
        <v>101</v>
      </c>
      <c r="B73" t="s">
        <v>23</v>
      </c>
      <c r="C73" t="s">
        <v>15</v>
      </c>
      <c r="D73">
        <v>2024</v>
      </c>
      <c r="E73" s="2">
        <v>115.5</v>
      </c>
      <c r="F73" s="4">
        <v>780</v>
      </c>
      <c r="G73">
        <v>3</v>
      </c>
      <c r="H73" s="1">
        <v>0.1</v>
      </c>
      <c r="I73" s="3">
        <f t="shared" si="1"/>
        <v>0.14807692307692308</v>
      </c>
    </row>
    <row r="74" spans="1:9" x14ac:dyDescent="0.35">
      <c r="A74" t="s">
        <v>102</v>
      </c>
      <c r="B74" t="s">
        <v>17</v>
      </c>
      <c r="C74" t="s">
        <v>10</v>
      </c>
      <c r="D74">
        <v>2023</v>
      </c>
      <c r="E74" s="2">
        <v>65.099999999999994</v>
      </c>
      <c r="F74" s="4">
        <v>390</v>
      </c>
      <c r="G74">
        <v>8</v>
      </c>
      <c r="H74" s="1">
        <v>0.05</v>
      </c>
      <c r="I74" s="3">
        <f t="shared" si="1"/>
        <v>0.1669230769230769</v>
      </c>
    </row>
    <row r="75" spans="1:9" x14ac:dyDescent="0.35">
      <c r="A75" t="s">
        <v>103</v>
      </c>
      <c r="B75" t="s">
        <v>19</v>
      </c>
      <c r="C75" t="s">
        <v>15</v>
      </c>
      <c r="D75">
        <v>2022</v>
      </c>
      <c r="E75" s="2">
        <v>70.25</v>
      </c>
      <c r="F75" s="4">
        <v>450</v>
      </c>
      <c r="G75">
        <v>4</v>
      </c>
      <c r="H75" s="1">
        <v>0.12</v>
      </c>
      <c r="I75" s="3">
        <f t="shared" si="1"/>
        <v>0.15611111111111112</v>
      </c>
    </row>
    <row r="76" spans="1:9" x14ac:dyDescent="0.35">
      <c r="A76" t="s">
        <v>104</v>
      </c>
      <c r="B76" t="s">
        <v>12</v>
      </c>
      <c r="C76" t="s">
        <v>10</v>
      </c>
      <c r="D76">
        <v>2021</v>
      </c>
      <c r="E76" s="2">
        <v>380</v>
      </c>
      <c r="F76" s="4">
        <v>2500</v>
      </c>
      <c r="G76">
        <v>2</v>
      </c>
      <c r="H76" s="1">
        <v>0.1</v>
      </c>
      <c r="I76" s="3">
        <f t="shared" si="1"/>
        <v>0.152</v>
      </c>
    </row>
    <row r="77" spans="1:9" x14ac:dyDescent="0.35">
      <c r="A77" t="s">
        <v>105</v>
      </c>
      <c r="B77" t="s">
        <v>31</v>
      </c>
      <c r="C77" t="s">
        <v>15</v>
      </c>
      <c r="D77">
        <v>2024</v>
      </c>
      <c r="E77" s="2">
        <v>130.75</v>
      </c>
      <c r="F77" s="4">
        <v>850</v>
      </c>
      <c r="G77">
        <v>2</v>
      </c>
      <c r="H77" s="1">
        <v>0.15</v>
      </c>
      <c r="I77" s="3">
        <f t="shared" si="1"/>
        <v>0.15382352941176469</v>
      </c>
    </row>
    <row r="78" spans="1:9" x14ac:dyDescent="0.35">
      <c r="A78" t="s">
        <v>106</v>
      </c>
      <c r="B78" t="s">
        <v>25</v>
      </c>
      <c r="C78" t="s">
        <v>10</v>
      </c>
      <c r="D78">
        <v>2023</v>
      </c>
      <c r="E78" s="2">
        <v>210.3</v>
      </c>
      <c r="F78" s="4">
        <v>1250</v>
      </c>
      <c r="G78">
        <v>3</v>
      </c>
      <c r="H78" s="1">
        <v>0.08</v>
      </c>
      <c r="I78" s="3">
        <f t="shared" si="1"/>
        <v>0.16824</v>
      </c>
    </row>
    <row r="79" spans="1:9" x14ac:dyDescent="0.35">
      <c r="A79" t="s">
        <v>107</v>
      </c>
      <c r="B79" t="s">
        <v>27</v>
      </c>
      <c r="C79" t="s">
        <v>15</v>
      </c>
      <c r="D79">
        <v>2022</v>
      </c>
      <c r="E79" s="2">
        <v>85.4</v>
      </c>
      <c r="F79" s="4">
        <v>520</v>
      </c>
      <c r="G79">
        <v>4</v>
      </c>
      <c r="H79" s="1">
        <v>0.1</v>
      </c>
      <c r="I79" s="3">
        <f t="shared" si="1"/>
        <v>0.16423076923076924</v>
      </c>
    </row>
    <row r="80" spans="1:9" x14ac:dyDescent="0.35">
      <c r="A80" t="s">
        <v>108</v>
      </c>
      <c r="B80" t="s">
        <v>29</v>
      </c>
      <c r="C80" t="s">
        <v>10</v>
      </c>
      <c r="D80">
        <v>2021</v>
      </c>
      <c r="E80" s="2">
        <v>95.5</v>
      </c>
      <c r="F80" s="4">
        <v>520</v>
      </c>
      <c r="G80">
        <v>8</v>
      </c>
      <c r="H80" s="1">
        <v>0.05</v>
      </c>
      <c r="I80" s="3">
        <f t="shared" si="1"/>
        <v>0.18365384615384617</v>
      </c>
    </row>
    <row r="81" spans="1:9" x14ac:dyDescent="0.35">
      <c r="A81" t="s">
        <v>109</v>
      </c>
      <c r="B81" t="s">
        <v>41</v>
      </c>
      <c r="C81" t="s">
        <v>15</v>
      </c>
      <c r="D81">
        <v>2024</v>
      </c>
      <c r="E81" s="2">
        <v>160.19999999999999</v>
      </c>
      <c r="F81" s="4">
        <v>1000</v>
      </c>
      <c r="G81">
        <v>2</v>
      </c>
      <c r="H81" s="1">
        <v>0.12</v>
      </c>
      <c r="I81" s="3">
        <f t="shared" si="1"/>
        <v>0.16019999999999998</v>
      </c>
    </row>
    <row r="82" spans="1:9" x14ac:dyDescent="0.35">
      <c r="A82" t="s">
        <v>110</v>
      </c>
      <c r="B82" t="s">
        <v>39</v>
      </c>
      <c r="C82" t="s">
        <v>10</v>
      </c>
      <c r="D82">
        <v>2023</v>
      </c>
      <c r="E82" s="2">
        <v>60</v>
      </c>
      <c r="F82" s="4">
        <v>340</v>
      </c>
      <c r="G82">
        <v>10</v>
      </c>
      <c r="H82" s="1">
        <v>0.1</v>
      </c>
      <c r="I82" s="3">
        <f t="shared" si="1"/>
        <v>0.17647058823529413</v>
      </c>
    </row>
    <row r="83" spans="1:9" x14ac:dyDescent="0.35">
      <c r="A83" t="s">
        <v>111</v>
      </c>
      <c r="B83" t="s">
        <v>48</v>
      </c>
      <c r="C83" t="s">
        <v>15</v>
      </c>
      <c r="D83">
        <v>2022</v>
      </c>
      <c r="E83" s="2">
        <v>230.1</v>
      </c>
      <c r="F83" s="4">
        <v>1700</v>
      </c>
      <c r="G83">
        <v>1</v>
      </c>
      <c r="H83" s="1">
        <v>0.15</v>
      </c>
      <c r="I83" s="3">
        <f t="shared" si="1"/>
        <v>0.13535294117647059</v>
      </c>
    </row>
    <row r="84" spans="1:9" x14ac:dyDescent="0.35">
      <c r="A84" t="s">
        <v>112</v>
      </c>
      <c r="B84" t="s">
        <v>35</v>
      </c>
      <c r="C84" t="s">
        <v>10</v>
      </c>
      <c r="D84">
        <v>2021</v>
      </c>
      <c r="E84" s="2">
        <v>125.75</v>
      </c>
      <c r="F84" s="4">
        <v>1050</v>
      </c>
      <c r="G84">
        <v>4</v>
      </c>
      <c r="H84" s="1">
        <v>0.08</v>
      </c>
      <c r="I84" s="3">
        <f t="shared" si="1"/>
        <v>0.11976190476190476</v>
      </c>
    </row>
    <row r="85" spans="1:9" x14ac:dyDescent="0.35">
      <c r="A85" t="s">
        <v>113</v>
      </c>
      <c r="B85" t="s">
        <v>37</v>
      </c>
      <c r="C85" t="s">
        <v>15</v>
      </c>
      <c r="D85">
        <v>2024</v>
      </c>
      <c r="E85" s="2">
        <v>45.3</v>
      </c>
      <c r="F85" s="4">
        <v>280</v>
      </c>
      <c r="G85">
        <v>5</v>
      </c>
      <c r="H85" s="1">
        <v>0.2</v>
      </c>
      <c r="I85" s="3">
        <f t="shared" si="1"/>
        <v>0.16178571428571428</v>
      </c>
    </row>
    <row r="86" spans="1:9" x14ac:dyDescent="0.35">
      <c r="A86" t="s">
        <v>114</v>
      </c>
      <c r="B86" t="s">
        <v>43</v>
      </c>
      <c r="C86" t="s">
        <v>10</v>
      </c>
      <c r="D86">
        <v>2023</v>
      </c>
      <c r="E86" s="2">
        <v>90.4</v>
      </c>
      <c r="F86" s="4">
        <v>600</v>
      </c>
      <c r="G86">
        <v>7</v>
      </c>
      <c r="H86" s="1">
        <v>0.1</v>
      </c>
      <c r="I86" s="3">
        <f t="shared" si="1"/>
        <v>0.15066666666666667</v>
      </c>
    </row>
    <row r="87" spans="1:9" x14ac:dyDescent="0.35">
      <c r="A87" t="s">
        <v>115</v>
      </c>
      <c r="B87" t="s">
        <v>14</v>
      </c>
      <c r="C87" t="s">
        <v>15</v>
      </c>
      <c r="D87">
        <v>2022</v>
      </c>
      <c r="E87" s="2">
        <v>105.5</v>
      </c>
      <c r="F87" s="4">
        <v>720</v>
      </c>
      <c r="G87">
        <v>3</v>
      </c>
      <c r="H87" s="1">
        <v>0.05</v>
      </c>
      <c r="I87" s="3">
        <f t="shared" si="1"/>
        <v>0.14652777777777778</v>
      </c>
    </row>
    <row r="88" spans="1:9" x14ac:dyDescent="0.35">
      <c r="A88" t="s">
        <v>116</v>
      </c>
      <c r="B88" t="s">
        <v>50</v>
      </c>
      <c r="C88" t="s">
        <v>10</v>
      </c>
      <c r="D88">
        <v>2021</v>
      </c>
      <c r="E88" s="2">
        <v>35.200000000000003</v>
      </c>
      <c r="F88" s="4">
        <v>180</v>
      </c>
      <c r="G88">
        <v>12</v>
      </c>
      <c r="H88" s="1">
        <v>0.12</v>
      </c>
      <c r="I88" s="3">
        <f t="shared" si="1"/>
        <v>0.19555555555555557</v>
      </c>
    </row>
    <row r="89" spans="1:9" x14ac:dyDescent="0.35">
      <c r="A89" t="s">
        <v>117</v>
      </c>
      <c r="B89" t="s">
        <v>21</v>
      </c>
      <c r="C89" t="s">
        <v>10</v>
      </c>
      <c r="D89">
        <v>2024</v>
      </c>
      <c r="E89" s="2">
        <v>140.6</v>
      </c>
      <c r="F89" s="4">
        <v>950</v>
      </c>
      <c r="G89">
        <v>6</v>
      </c>
      <c r="H89" s="1">
        <v>0.1</v>
      </c>
      <c r="I89" s="3">
        <f t="shared" si="1"/>
        <v>0.14799999999999999</v>
      </c>
    </row>
    <row r="90" spans="1:9" x14ac:dyDescent="0.35">
      <c r="A90" t="s">
        <v>118</v>
      </c>
      <c r="B90" t="s">
        <v>23</v>
      </c>
      <c r="C90" t="s">
        <v>15</v>
      </c>
      <c r="D90">
        <v>2023</v>
      </c>
      <c r="E90" s="2">
        <v>120</v>
      </c>
      <c r="F90" s="4">
        <v>800</v>
      </c>
      <c r="G90">
        <v>3</v>
      </c>
      <c r="H90" s="1">
        <v>0.08</v>
      </c>
      <c r="I90" s="3">
        <f t="shared" si="1"/>
        <v>0.15</v>
      </c>
    </row>
    <row r="91" spans="1:9" x14ac:dyDescent="0.35">
      <c r="A91" t="s">
        <v>119</v>
      </c>
      <c r="B91" t="s">
        <v>17</v>
      </c>
      <c r="C91" t="s">
        <v>10</v>
      </c>
      <c r="D91">
        <v>2022</v>
      </c>
      <c r="E91" s="2">
        <v>70.25</v>
      </c>
      <c r="F91" s="4">
        <v>410</v>
      </c>
      <c r="G91">
        <v>8</v>
      </c>
      <c r="H91" s="1">
        <v>0.15</v>
      </c>
      <c r="I91" s="3">
        <f t="shared" si="1"/>
        <v>0.17134146341463416</v>
      </c>
    </row>
    <row r="92" spans="1:9" x14ac:dyDescent="0.35">
      <c r="A92" t="s">
        <v>120</v>
      </c>
      <c r="B92" t="s">
        <v>12</v>
      </c>
      <c r="C92" t="s">
        <v>10</v>
      </c>
      <c r="D92">
        <v>2021</v>
      </c>
      <c r="E92" s="2">
        <v>390.75</v>
      </c>
      <c r="F92" s="4">
        <v>2600</v>
      </c>
      <c r="G92">
        <v>2</v>
      </c>
      <c r="H92" s="1">
        <v>0.1</v>
      </c>
      <c r="I92" s="3">
        <f t="shared" si="1"/>
        <v>0.15028846153846154</v>
      </c>
    </row>
    <row r="93" spans="1:9" x14ac:dyDescent="0.35">
      <c r="A93" t="s">
        <v>121</v>
      </c>
      <c r="B93" t="s">
        <v>19</v>
      </c>
      <c r="C93" t="s">
        <v>15</v>
      </c>
      <c r="D93">
        <v>2024</v>
      </c>
      <c r="E93" s="2">
        <v>75.099999999999994</v>
      </c>
      <c r="F93" s="4">
        <v>470</v>
      </c>
      <c r="G93">
        <v>4</v>
      </c>
      <c r="H93" s="1">
        <v>0.05</v>
      </c>
      <c r="I93" s="3">
        <f t="shared" si="1"/>
        <v>0.15978723404255318</v>
      </c>
    </row>
    <row r="94" spans="1:9" x14ac:dyDescent="0.35">
      <c r="A94" t="s">
        <v>122</v>
      </c>
      <c r="B94" t="s">
        <v>25</v>
      </c>
      <c r="C94" t="s">
        <v>10</v>
      </c>
      <c r="D94">
        <v>2023</v>
      </c>
      <c r="E94" s="2">
        <v>220.5</v>
      </c>
      <c r="F94" s="4">
        <v>1300</v>
      </c>
      <c r="G94">
        <v>3</v>
      </c>
      <c r="H94" s="1">
        <v>0.12</v>
      </c>
      <c r="I94" s="3">
        <f t="shared" si="1"/>
        <v>0.16961538461538461</v>
      </c>
    </row>
    <row r="95" spans="1:9" x14ac:dyDescent="0.35">
      <c r="A95" t="s">
        <v>123</v>
      </c>
      <c r="B95" t="s">
        <v>27</v>
      </c>
      <c r="C95" t="s">
        <v>15</v>
      </c>
      <c r="D95">
        <v>2022</v>
      </c>
      <c r="E95" s="2">
        <v>90.2</v>
      </c>
      <c r="F95" s="4">
        <v>550</v>
      </c>
      <c r="G95">
        <v>4</v>
      </c>
      <c r="H95" s="1">
        <v>0.1</v>
      </c>
      <c r="I95" s="3">
        <f t="shared" si="1"/>
        <v>0.16400000000000001</v>
      </c>
    </row>
    <row r="96" spans="1:9" x14ac:dyDescent="0.35">
      <c r="A96" t="s">
        <v>124</v>
      </c>
      <c r="B96" t="s">
        <v>9</v>
      </c>
      <c r="C96" t="s">
        <v>10</v>
      </c>
      <c r="D96">
        <v>2021</v>
      </c>
      <c r="E96" s="2">
        <v>155.4</v>
      </c>
      <c r="F96" s="4">
        <v>1020</v>
      </c>
      <c r="G96">
        <v>5</v>
      </c>
      <c r="H96" s="1">
        <v>0.08</v>
      </c>
      <c r="I96" s="3">
        <f t="shared" si="1"/>
        <v>0.15235294117647061</v>
      </c>
    </row>
    <row r="97" spans="1:9" x14ac:dyDescent="0.35">
      <c r="A97" t="s">
        <v>125</v>
      </c>
      <c r="B97" t="s">
        <v>31</v>
      </c>
      <c r="C97" t="s">
        <v>15</v>
      </c>
      <c r="D97">
        <v>2024</v>
      </c>
      <c r="E97" s="2">
        <v>135.30000000000001</v>
      </c>
      <c r="F97" s="4">
        <v>880</v>
      </c>
      <c r="G97">
        <v>2</v>
      </c>
      <c r="H97" s="1">
        <v>0.15</v>
      </c>
      <c r="I97" s="3">
        <f t="shared" si="1"/>
        <v>0.15375000000000003</v>
      </c>
    </row>
    <row r="98" spans="1:9" x14ac:dyDescent="0.35">
      <c r="A98" t="s">
        <v>126</v>
      </c>
      <c r="B98" t="s">
        <v>39</v>
      </c>
      <c r="C98" t="s">
        <v>10</v>
      </c>
      <c r="D98">
        <v>2023</v>
      </c>
      <c r="E98" s="2">
        <v>65</v>
      </c>
      <c r="F98" s="4">
        <v>360</v>
      </c>
      <c r="G98">
        <v>10</v>
      </c>
      <c r="H98" s="1">
        <v>0.1</v>
      </c>
      <c r="I98" s="3">
        <f t="shared" si="1"/>
        <v>0.18055555555555555</v>
      </c>
    </row>
    <row r="99" spans="1:9" x14ac:dyDescent="0.35">
      <c r="A99" t="s">
        <v>127</v>
      </c>
      <c r="B99" t="s">
        <v>41</v>
      </c>
      <c r="C99" t="s">
        <v>15</v>
      </c>
      <c r="D99">
        <v>2022</v>
      </c>
      <c r="E99" s="2">
        <v>170.75</v>
      </c>
      <c r="F99" s="4">
        <v>1050</v>
      </c>
      <c r="G99">
        <v>2</v>
      </c>
      <c r="H99" s="1">
        <v>0.05</v>
      </c>
      <c r="I99" s="3">
        <f t="shared" si="1"/>
        <v>0.16261904761904761</v>
      </c>
    </row>
    <row r="100" spans="1:9" x14ac:dyDescent="0.35">
      <c r="A100" t="s">
        <v>100</v>
      </c>
      <c r="B100" t="s">
        <v>43</v>
      </c>
      <c r="C100" t="s">
        <v>10</v>
      </c>
      <c r="D100">
        <v>2021</v>
      </c>
      <c r="E100" s="2">
        <v>95.6</v>
      </c>
      <c r="F100" s="4">
        <v>620</v>
      </c>
      <c r="G100">
        <v>7</v>
      </c>
      <c r="H100" s="1">
        <v>0.12</v>
      </c>
      <c r="I100" s="3">
        <f t="shared" si="1"/>
        <v>0.15419354838709676</v>
      </c>
    </row>
    <row r="101" spans="1:9" x14ac:dyDescent="0.35">
      <c r="A101" t="s">
        <v>101</v>
      </c>
      <c r="B101" t="s">
        <v>48</v>
      </c>
      <c r="C101" t="s">
        <v>15</v>
      </c>
      <c r="D101">
        <v>2024</v>
      </c>
      <c r="E101" s="2">
        <v>240</v>
      </c>
      <c r="F101" s="4">
        <v>1750</v>
      </c>
      <c r="G101">
        <v>1</v>
      </c>
      <c r="H101" s="1">
        <v>0.1</v>
      </c>
      <c r="I101" s="3">
        <f t="shared" si="1"/>
        <v>0.13714285714285715</v>
      </c>
    </row>
    <row r="102" spans="1:9" x14ac:dyDescent="0.35">
      <c r="A102" t="s">
        <v>102</v>
      </c>
      <c r="B102" t="s">
        <v>35</v>
      </c>
      <c r="C102" t="s">
        <v>10</v>
      </c>
      <c r="D102">
        <v>2023</v>
      </c>
      <c r="E102" s="2">
        <v>130.25</v>
      </c>
      <c r="F102" s="4">
        <v>1100</v>
      </c>
      <c r="G102">
        <v>4</v>
      </c>
      <c r="H102" s="1">
        <v>0.08</v>
      </c>
      <c r="I102" s="3">
        <f t="shared" si="1"/>
        <v>0.11840909090909091</v>
      </c>
    </row>
    <row r="103" spans="1:9" x14ac:dyDescent="0.35">
      <c r="A103" t="s">
        <v>103</v>
      </c>
      <c r="B103" t="s">
        <v>37</v>
      </c>
      <c r="C103" t="s">
        <v>15</v>
      </c>
      <c r="D103">
        <v>2022</v>
      </c>
      <c r="E103" s="2">
        <v>50.4</v>
      </c>
      <c r="F103" s="4">
        <v>300</v>
      </c>
      <c r="G103">
        <v>5</v>
      </c>
      <c r="H103" s="1">
        <v>0.2</v>
      </c>
      <c r="I103" s="3">
        <f t="shared" si="1"/>
        <v>0.16799999999999998</v>
      </c>
    </row>
    <row r="104" spans="1:9" x14ac:dyDescent="0.35">
      <c r="A104" t="s">
        <v>104</v>
      </c>
      <c r="B104" t="s">
        <v>50</v>
      </c>
      <c r="C104" t="s">
        <v>10</v>
      </c>
      <c r="D104">
        <v>2021</v>
      </c>
      <c r="E104" s="2">
        <v>40.1</v>
      </c>
      <c r="F104" s="4">
        <v>200</v>
      </c>
      <c r="G104">
        <v>12</v>
      </c>
      <c r="H104" s="1">
        <v>0.15</v>
      </c>
      <c r="I104" s="3">
        <f t="shared" si="1"/>
        <v>0.20050000000000001</v>
      </c>
    </row>
    <row r="105" spans="1:9" x14ac:dyDescent="0.35">
      <c r="A105" t="s">
        <v>105</v>
      </c>
      <c r="B105" t="s">
        <v>14</v>
      </c>
      <c r="C105" t="s">
        <v>15</v>
      </c>
      <c r="D105">
        <v>2024</v>
      </c>
      <c r="E105" s="2">
        <v>110.5</v>
      </c>
      <c r="F105" s="4">
        <v>750</v>
      </c>
      <c r="G105">
        <v>3</v>
      </c>
      <c r="H105" s="1">
        <v>0.1</v>
      </c>
      <c r="I105" s="3">
        <f t="shared" si="1"/>
        <v>0.14733333333333334</v>
      </c>
    </row>
    <row r="106" spans="1:9" x14ac:dyDescent="0.35">
      <c r="A106" t="s">
        <v>106</v>
      </c>
      <c r="B106" t="s">
        <v>17</v>
      </c>
      <c r="C106" t="s">
        <v>10</v>
      </c>
      <c r="D106">
        <v>2023</v>
      </c>
      <c r="E106" s="2">
        <v>75.2</v>
      </c>
      <c r="F106" s="4">
        <v>430</v>
      </c>
      <c r="G106">
        <v>8</v>
      </c>
      <c r="H106" s="1">
        <v>0.05</v>
      </c>
      <c r="I106" s="3">
        <f t="shared" si="1"/>
        <v>0.17488372093023258</v>
      </c>
    </row>
    <row r="107" spans="1:9" x14ac:dyDescent="0.35">
      <c r="A107" t="s">
        <v>107</v>
      </c>
      <c r="B107" t="s">
        <v>23</v>
      </c>
      <c r="C107" t="s">
        <v>15</v>
      </c>
      <c r="D107">
        <v>2022</v>
      </c>
      <c r="E107" s="2">
        <v>125.3</v>
      </c>
      <c r="F107" s="4">
        <v>820</v>
      </c>
      <c r="G107">
        <v>3</v>
      </c>
      <c r="H107" s="1">
        <v>0.12</v>
      </c>
      <c r="I107" s="3">
        <f t="shared" si="1"/>
        <v>0.15280487804878048</v>
      </c>
    </row>
    <row r="108" spans="1:9" x14ac:dyDescent="0.35">
      <c r="A108" t="s">
        <v>108</v>
      </c>
      <c r="B108" t="s">
        <v>12</v>
      </c>
      <c r="C108" t="s">
        <v>10</v>
      </c>
      <c r="D108">
        <v>2021</v>
      </c>
      <c r="E108" s="2">
        <v>400</v>
      </c>
      <c r="F108" s="4">
        <v>2700</v>
      </c>
      <c r="G108">
        <v>2</v>
      </c>
      <c r="H108" s="1">
        <v>0.1</v>
      </c>
      <c r="I108" s="3">
        <f t="shared" si="1"/>
        <v>0.14814814814814814</v>
      </c>
    </row>
    <row r="109" spans="1:9" x14ac:dyDescent="0.35">
      <c r="A109" t="s">
        <v>109</v>
      </c>
      <c r="B109" t="s">
        <v>19</v>
      </c>
      <c r="C109" t="s">
        <v>15</v>
      </c>
      <c r="D109">
        <v>2024</v>
      </c>
      <c r="E109" s="2">
        <v>80.75</v>
      </c>
      <c r="F109" s="4">
        <v>500</v>
      </c>
      <c r="G109">
        <v>4</v>
      </c>
      <c r="H109" s="1">
        <v>0.08</v>
      </c>
      <c r="I109" s="3">
        <f t="shared" si="1"/>
        <v>0.1615</v>
      </c>
    </row>
    <row r="110" spans="1:9" x14ac:dyDescent="0.35">
      <c r="A110" t="s">
        <v>110</v>
      </c>
      <c r="B110" t="s">
        <v>25</v>
      </c>
      <c r="C110" t="s">
        <v>10</v>
      </c>
      <c r="D110">
        <v>2023</v>
      </c>
      <c r="E110" s="2">
        <v>230.6</v>
      </c>
      <c r="F110" s="4">
        <v>1350</v>
      </c>
      <c r="G110">
        <v>3</v>
      </c>
      <c r="H110" s="1">
        <v>0.15</v>
      </c>
      <c r="I110" s="3">
        <f t="shared" si="1"/>
        <v>0.17081481481481481</v>
      </c>
    </row>
    <row r="111" spans="1:9" x14ac:dyDescent="0.35">
      <c r="A111" t="s">
        <v>111</v>
      </c>
      <c r="B111" t="s">
        <v>31</v>
      </c>
      <c r="C111" t="s">
        <v>15</v>
      </c>
      <c r="D111">
        <v>2022</v>
      </c>
      <c r="E111" s="2">
        <v>140.4</v>
      </c>
      <c r="F111" s="4">
        <v>900</v>
      </c>
      <c r="G111">
        <v>2</v>
      </c>
      <c r="H111" s="1">
        <v>0.1</v>
      </c>
      <c r="I111" s="3">
        <f t="shared" si="1"/>
        <v>0.156</v>
      </c>
    </row>
    <row r="112" spans="1:9" x14ac:dyDescent="0.35">
      <c r="A112" t="s">
        <v>112</v>
      </c>
      <c r="B112" t="s">
        <v>29</v>
      </c>
      <c r="C112" t="s">
        <v>10</v>
      </c>
      <c r="D112">
        <v>2021</v>
      </c>
      <c r="E112" s="2">
        <v>100.5</v>
      </c>
      <c r="F112" s="4">
        <v>550</v>
      </c>
      <c r="G112">
        <v>8</v>
      </c>
      <c r="H112" s="1">
        <v>0.05</v>
      </c>
      <c r="I112" s="3">
        <f t="shared" si="1"/>
        <v>0.18272727272727274</v>
      </c>
    </row>
    <row r="113" spans="1:9" x14ac:dyDescent="0.35">
      <c r="A113" t="s">
        <v>113</v>
      </c>
      <c r="B113" t="s">
        <v>27</v>
      </c>
      <c r="C113" t="s">
        <v>15</v>
      </c>
      <c r="D113">
        <v>2024</v>
      </c>
      <c r="E113" s="2">
        <v>95.1</v>
      </c>
      <c r="F113" s="4">
        <v>580</v>
      </c>
      <c r="G113">
        <v>4</v>
      </c>
      <c r="H113" s="1">
        <v>0.12</v>
      </c>
      <c r="I113" s="3">
        <f t="shared" si="1"/>
        <v>0.16396551724137931</v>
      </c>
    </row>
    <row r="114" spans="1:9" x14ac:dyDescent="0.35">
      <c r="A114" t="s">
        <v>114</v>
      </c>
      <c r="B114" t="s">
        <v>39</v>
      </c>
      <c r="C114" t="s">
        <v>10</v>
      </c>
      <c r="D114">
        <v>2023</v>
      </c>
      <c r="E114" s="2">
        <v>70.25</v>
      </c>
      <c r="F114" s="4">
        <v>380</v>
      </c>
      <c r="G114">
        <v>10</v>
      </c>
      <c r="H114" s="1">
        <v>0.1</v>
      </c>
      <c r="I114" s="3">
        <f t="shared" si="1"/>
        <v>0.18486842105263157</v>
      </c>
    </row>
    <row r="115" spans="1:9" x14ac:dyDescent="0.35">
      <c r="A115" t="s">
        <v>115</v>
      </c>
      <c r="B115" t="s">
        <v>41</v>
      </c>
      <c r="C115" t="s">
        <v>15</v>
      </c>
      <c r="D115">
        <v>2022</v>
      </c>
      <c r="E115" s="2">
        <v>180</v>
      </c>
      <c r="F115" s="4">
        <v>1100</v>
      </c>
      <c r="G115">
        <v>2</v>
      </c>
      <c r="H115" s="1">
        <v>0.15</v>
      </c>
      <c r="I115" s="3">
        <f t="shared" si="1"/>
        <v>0.16363636363636364</v>
      </c>
    </row>
    <row r="116" spans="1:9" x14ac:dyDescent="0.35">
      <c r="A116" t="s">
        <v>116</v>
      </c>
      <c r="B116" t="s">
        <v>43</v>
      </c>
      <c r="C116" t="s">
        <v>10</v>
      </c>
      <c r="D116">
        <v>2021</v>
      </c>
      <c r="E116" s="2">
        <v>100.75</v>
      </c>
      <c r="F116" s="4">
        <v>650</v>
      </c>
      <c r="G116">
        <v>7</v>
      </c>
      <c r="H116" s="1">
        <v>0.08</v>
      </c>
      <c r="I116" s="3">
        <f t="shared" si="1"/>
        <v>0.155</v>
      </c>
    </row>
    <row r="117" spans="1:9" x14ac:dyDescent="0.35">
      <c r="A117" t="s">
        <v>117</v>
      </c>
      <c r="B117" t="s">
        <v>48</v>
      </c>
      <c r="C117" t="s">
        <v>15</v>
      </c>
      <c r="D117">
        <v>2024</v>
      </c>
      <c r="E117" s="2">
        <v>250.2</v>
      </c>
      <c r="F117" s="4">
        <v>1800</v>
      </c>
      <c r="G117">
        <v>1</v>
      </c>
      <c r="H117" s="1">
        <v>0.1</v>
      </c>
      <c r="I117" s="3">
        <f t="shared" si="1"/>
        <v>0.13899999999999998</v>
      </c>
    </row>
    <row r="118" spans="1:9" x14ac:dyDescent="0.35">
      <c r="A118" t="s">
        <v>118</v>
      </c>
      <c r="B118" t="s">
        <v>35</v>
      </c>
      <c r="C118" t="s">
        <v>10</v>
      </c>
      <c r="D118">
        <v>2023</v>
      </c>
      <c r="E118" s="2">
        <v>135.4</v>
      </c>
      <c r="F118" s="4">
        <v>1150</v>
      </c>
      <c r="G118">
        <v>4</v>
      </c>
      <c r="H118" s="1">
        <v>0.05</v>
      </c>
      <c r="I118" s="3">
        <f t="shared" si="1"/>
        <v>0.11773913043478261</v>
      </c>
    </row>
    <row r="119" spans="1:9" x14ac:dyDescent="0.35">
      <c r="A119" t="s">
        <v>119</v>
      </c>
      <c r="B119" t="s">
        <v>37</v>
      </c>
      <c r="C119" t="s">
        <v>15</v>
      </c>
      <c r="D119">
        <v>2022</v>
      </c>
      <c r="E119" s="2">
        <v>55.3</v>
      </c>
      <c r="F119" s="4">
        <v>320</v>
      </c>
      <c r="G119">
        <v>5</v>
      </c>
      <c r="H119" s="1">
        <v>0.2</v>
      </c>
      <c r="I119" s="3">
        <f t="shared" si="1"/>
        <v>0.17281249999999998</v>
      </c>
    </row>
    <row r="120" spans="1:9" x14ac:dyDescent="0.35">
      <c r="A120" t="s">
        <v>120</v>
      </c>
      <c r="B120" t="s">
        <v>50</v>
      </c>
      <c r="C120" t="s">
        <v>10</v>
      </c>
      <c r="D120">
        <v>2021</v>
      </c>
      <c r="E120" s="2">
        <v>45</v>
      </c>
      <c r="F120" s="4">
        <v>220</v>
      </c>
      <c r="G120">
        <v>12</v>
      </c>
      <c r="H120" s="1">
        <v>0.12</v>
      </c>
      <c r="I120" s="3">
        <f t="shared" si="1"/>
        <v>0.20454545454545456</v>
      </c>
    </row>
    <row r="121" spans="1:9" x14ac:dyDescent="0.35">
      <c r="A121" t="s">
        <v>121</v>
      </c>
      <c r="B121" t="s">
        <v>14</v>
      </c>
      <c r="C121" t="s">
        <v>15</v>
      </c>
      <c r="D121">
        <v>2024</v>
      </c>
      <c r="E121" s="2">
        <v>115.5</v>
      </c>
      <c r="F121" s="4">
        <v>780</v>
      </c>
      <c r="G121">
        <v>3</v>
      </c>
      <c r="H121" s="1">
        <v>0.1</v>
      </c>
      <c r="I121" s="3">
        <f t="shared" si="1"/>
        <v>0.14807692307692308</v>
      </c>
    </row>
    <row r="122" spans="1:9" x14ac:dyDescent="0.35">
      <c r="A122" t="s">
        <v>122</v>
      </c>
      <c r="B122" t="s">
        <v>17</v>
      </c>
      <c r="C122" t="s">
        <v>10</v>
      </c>
      <c r="D122">
        <v>2023</v>
      </c>
      <c r="E122" s="2">
        <v>80.099999999999994</v>
      </c>
      <c r="F122" s="4">
        <v>450</v>
      </c>
      <c r="G122">
        <v>8</v>
      </c>
      <c r="H122" s="1">
        <v>0.08</v>
      </c>
      <c r="I122" s="3">
        <f t="shared" si="1"/>
        <v>0.17799999999999999</v>
      </c>
    </row>
    <row r="123" spans="1:9" x14ac:dyDescent="0.35">
      <c r="A123" t="s">
        <v>123</v>
      </c>
      <c r="B123" t="s">
        <v>23</v>
      </c>
      <c r="C123" t="s">
        <v>15</v>
      </c>
      <c r="D123">
        <v>2022</v>
      </c>
      <c r="E123" s="2">
        <v>130.25</v>
      </c>
      <c r="F123" s="4">
        <v>850</v>
      </c>
      <c r="G123">
        <v>3</v>
      </c>
      <c r="H123" s="1">
        <v>0.15</v>
      </c>
      <c r="I123" s="3">
        <f t="shared" si="1"/>
        <v>0.15323529411764705</v>
      </c>
    </row>
    <row r="124" spans="1:9" x14ac:dyDescent="0.35">
      <c r="A124" t="s">
        <v>124</v>
      </c>
      <c r="B124" t="s">
        <v>12</v>
      </c>
      <c r="C124" t="s">
        <v>10</v>
      </c>
      <c r="D124">
        <v>2021</v>
      </c>
      <c r="E124" s="2">
        <v>410.75</v>
      </c>
      <c r="F124" s="4">
        <v>2800</v>
      </c>
      <c r="G124">
        <v>2</v>
      </c>
      <c r="H124" s="1">
        <v>0.1</v>
      </c>
      <c r="I124" s="3">
        <f t="shared" si="1"/>
        <v>0.14669642857142856</v>
      </c>
    </row>
    <row r="125" spans="1:9" x14ac:dyDescent="0.35">
      <c r="A125" t="s">
        <v>125</v>
      </c>
      <c r="B125" t="s">
        <v>19</v>
      </c>
      <c r="C125" t="s">
        <v>15</v>
      </c>
      <c r="D125">
        <v>2024</v>
      </c>
      <c r="E125" s="2">
        <v>85.4</v>
      </c>
      <c r="F125" s="4">
        <v>520</v>
      </c>
      <c r="G125">
        <v>4</v>
      </c>
      <c r="H125" s="1">
        <v>0.05</v>
      </c>
      <c r="I125" s="3">
        <f t="shared" si="1"/>
        <v>0.16423076923076924</v>
      </c>
    </row>
    <row r="126" spans="1:9" x14ac:dyDescent="0.35">
      <c r="A126" t="s">
        <v>126</v>
      </c>
      <c r="B126" t="s">
        <v>25</v>
      </c>
      <c r="C126" t="s">
        <v>10</v>
      </c>
      <c r="D126">
        <v>2023</v>
      </c>
      <c r="E126" s="2">
        <v>240.6</v>
      </c>
      <c r="F126" s="4">
        <v>1400</v>
      </c>
      <c r="G126">
        <v>3</v>
      </c>
      <c r="H126" s="1">
        <v>0.12</v>
      </c>
      <c r="I126" s="3">
        <f t="shared" si="1"/>
        <v>0.17185714285714285</v>
      </c>
    </row>
    <row r="127" spans="1:9" x14ac:dyDescent="0.35">
      <c r="A127" t="s">
        <v>127</v>
      </c>
      <c r="B127" t="s">
        <v>31</v>
      </c>
      <c r="C127" t="s">
        <v>15</v>
      </c>
      <c r="D127">
        <v>2022</v>
      </c>
      <c r="E127" s="2">
        <v>145.30000000000001</v>
      </c>
      <c r="F127" s="4">
        <v>920</v>
      </c>
      <c r="G127">
        <v>2</v>
      </c>
      <c r="H127" s="1">
        <v>0.1</v>
      </c>
      <c r="I127" s="3">
        <f t="shared" si="1"/>
        <v>0.15793478260869567</v>
      </c>
    </row>
    <row r="128" spans="1:9" x14ac:dyDescent="0.35">
      <c r="A128" t="s">
        <v>100</v>
      </c>
      <c r="B128" t="s">
        <v>29</v>
      </c>
      <c r="C128" t="s">
        <v>10</v>
      </c>
      <c r="D128">
        <v>2021</v>
      </c>
      <c r="E128" s="2">
        <v>105.5</v>
      </c>
      <c r="F128" s="4">
        <v>580</v>
      </c>
      <c r="G128">
        <v>8</v>
      </c>
      <c r="H128" s="1">
        <v>0.08</v>
      </c>
      <c r="I128" s="3">
        <f t="shared" si="1"/>
        <v>0.18189655172413793</v>
      </c>
    </row>
    <row r="129" spans="1:9" x14ac:dyDescent="0.35">
      <c r="A129" t="s">
        <v>101</v>
      </c>
      <c r="B129" t="s">
        <v>27</v>
      </c>
      <c r="C129" t="s">
        <v>15</v>
      </c>
      <c r="D129">
        <v>2024</v>
      </c>
      <c r="E129" s="2">
        <v>100.2</v>
      </c>
      <c r="F129" s="4">
        <v>600</v>
      </c>
      <c r="G129">
        <v>4</v>
      </c>
      <c r="H129" s="1">
        <v>0.15</v>
      </c>
      <c r="I129" s="3">
        <f t="shared" si="1"/>
        <v>0.16700000000000001</v>
      </c>
    </row>
    <row r="130" spans="1:9" x14ac:dyDescent="0.35">
      <c r="A130" t="s">
        <v>102</v>
      </c>
      <c r="B130" t="s">
        <v>39</v>
      </c>
      <c r="C130" t="s">
        <v>10</v>
      </c>
      <c r="D130">
        <v>2023</v>
      </c>
      <c r="E130" s="2">
        <v>75</v>
      </c>
      <c r="F130" s="4">
        <v>400</v>
      </c>
      <c r="G130">
        <v>10</v>
      </c>
      <c r="H130" s="1">
        <v>0.1</v>
      </c>
      <c r="I130" s="3">
        <f t="shared" si="1"/>
        <v>0.1875</v>
      </c>
    </row>
    <row r="131" spans="1:9" x14ac:dyDescent="0.35">
      <c r="A131" t="s">
        <v>103</v>
      </c>
      <c r="B131" t="s">
        <v>41</v>
      </c>
      <c r="C131" t="s">
        <v>15</v>
      </c>
      <c r="D131">
        <v>2022</v>
      </c>
      <c r="E131" s="2">
        <v>190.75</v>
      </c>
      <c r="F131" s="4">
        <v>1150</v>
      </c>
      <c r="G131">
        <v>2</v>
      </c>
      <c r="H131" s="1">
        <v>0.05</v>
      </c>
      <c r="I131" s="3">
        <f t="shared" ref="I131:I188" si="2">E131/F131</f>
        <v>0.1658695652173913</v>
      </c>
    </row>
    <row r="132" spans="1:9" x14ac:dyDescent="0.35">
      <c r="A132" t="s">
        <v>104</v>
      </c>
      <c r="B132" t="s">
        <v>43</v>
      </c>
      <c r="C132" t="s">
        <v>10</v>
      </c>
      <c r="D132">
        <v>2021</v>
      </c>
      <c r="E132" s="2">
        <v>105.4</v>
      </c>
      <c r="F132" s="4">
        <v>680</v>
      </c>
      <c r="G132">
        <v>7</v>
      </c>
      <c r="H132" s="1">
        <v>0.12</v>
      </c>
      <c r="I132" s="3">
        <f t="shared" si="2"/>
        <v>0.155</v>
      </c>
    </row>
    <row r="133" spans="1:9" x14ac:dyDescent="0.35">
      <c r="A133" t="s">
        <v>105</v>
      </c>
      <c r="B133" t="s">
        <v>48</v>
      </c>
      <c r="C133" t="s">
        <v>15</v>
      </c>
      <c r="D133">
        <v>2024</v>
      </c>
      <c r="E133" s="2">
        <v>260.10000000000002</v>
      </c>
      <c r="F133" s="4">
        <v>1850</v>
      </c>
      <c r="G133">
        <v>1</v>
      </c>
      <c r="H133" s="1">
        <v>0.1</v>
      </c>
      <c r="I133" s="3">
        <f t="shared" si="2"/>
        <v>0.14059459459459461</v>
      </c>
    </row>
    <row r="134" spans="1:9" x14ac:dyDescent="0.35">
      <c r="A134" t="s">
        <v>106</v>
      </c>
      <c r="B134" t="s">
        <v>35</v>
      </c>
      <c r="C134" t="s">
        <v>10</v>
      </c>
      <c r="D134">
        <v>2023</v>
      </c>
      <c r="E134" s="2">
        <v>140.5</v>
      </c>
      <c r="F134" s="4">
        <v>1200</v>
      </c>
      <c r="G134">
        <v>4</v>
      </c>
      <c r="H134" s="1">
        <v>0.08</v>
      </c>
      <c r="I134" s="3">
        <f t="shared" si="2"/>
        <v>0.11708333333333333</v>
      </c>
    </row>
    <row r="135" spans="1:9" x14ac:dyDescent="0.35">
      <c r="A135" t="s">
        <v>107</v>
      </c>
      <c r="B135" t="s">
        <v>37</v>
      </c>
      <c r="C135" t="s">
        <v>15</v>
      </c>
      <c r="D135">
        <v>2022</v>
      </c>
      <c r="E135" s="2">
        <v>60.2</v>
      </c>
      <c r="F135" s="4">
        <v>340</v>
      </c>
      <c r="G135">
        <v>5</v>
      </c>
      <c r="H135" s="1">
        <v>0.2</v>
      </c>
      <c r="I135" s="3">
        <f t="shared" si="2"/>
        <v>0.17705882352941177</v>
      </c>
    </row>
    <row r="136" spans="1:9" x14ac:dyDescent="0.35">
      <c r="A136" t="s">
        <v>108</v>
      </c>
      <c r="B136" t="s">
        <v>50</v>
      </c>
      <c r="C136" t="s">
        <v>10</v>
      </c>
      <c r="D136">
        <v>2021</v>
      </c>
      <c r="E136" s="2">
        <v>50</v>
      </c>
      <c r="F136" s="4">
        <v>240</v>
      </c>
      <c r="G136">
        <v>12</v>
      </c>
      <c r="H136" s="1">
        <v>0.15</v>
      </c>
      <c r="I136" s="3">
        <f t="shared" si="2"/>
        <v>0.20833333333333334</v>
      </c>
    </row>
    <row r="137" spans="1:9" x14ac:dyDescent="0.35">
      <c r="A137" t="s">
        <v>109</v>
      </c>
      <c r="B137" t="s">
        <v>14</v>
      </c>
      <c r="C137" t="s">
        <v>15</v>
      </c>
      <c r="D137">
        <v>2024</v>
      </c>
      <c r="E137" s="2">
        <v>120.6</v>
      </c>
      <c r="F137" s="4">
        <v>800</v>
      </c>
      <c r="G137">
        <v>3</v>
      </c>
      <c r="H137" s="1">
        <v>0.1</v>
      </c>
      <c r="I137" s="3">
        <f t="shared" si="2"/>
        <v>0.15075</v>
      </c>
    </row>
    <row r="138" spans="1:9" x14ac:dyDescent="0.35">
      <c r="A138" t="s">
        <v>110</v>
      </c>
      <c r="B138" t="s">
        <v>17</v>
      </c>
      <c r="C138" t="s">
        <v>10</v>
      </c>
      <c r="D138">
        <v>2023</v>
      </c>
      <c r="E138" s="2">
        <v>85.25</v>
      </c>
      <c r="F138" s="4">
        <v>470</v>
      </c>
      <c r="G138">
        <v>8</v>
      </c>
      <c r="H138" s="1">
        <v>0.05</v>
      </c>
      <c r="I138" s="3">
        <f t="shared" si="2"/>
        <v>0.18138297872340425</v>
      </c>
    </row>
    <row r="139" spans="1:9" x14ac:dyDescent="0.35">
      <c r="A139" t="s">
        <v>111</v>
      </c>
      <c r="B139" t="s">
        <v>23</v>
      </c>
      <c r="C139" t="s">
        <v>15</v>
      </c>
      <c r="D139">
        <v>2022</v>
      </c>
      <c r="E139" s="2">
        <v>135.4</v>
      </c>
      <c r="F139" s="4">
        <v>880</v>
      </c>
      <c r="G139">
        <v>3</v>
      </c>
      <c r="H139" s="1">
        <v>0.12</v>
      </c>
      <c r="I139" s="3">
        <f t="shared" si="2"/>
        <v>0.15386363636363637</v>
      </c>
    </row>
    <row r="140" spans="1:9" x14ac:dyDescent="0.35">
      <c r="A140" t="s">
        <v>112</v>
      </c>
      <c r="B140" t="s">
        <v>12</v>
      </c>
      <c r="C140" t="s">
        <v>10</v>
      </c>
      <c r="D140">
        <v>2021</v>
      </c>
      <c r="E140" s="2">
        <v>420</v>
      </c>
      <c r="F140" s="4">
        <v>2900</v>
      </c>
      <c r="G140">
        <v>2</v>
      </c>
      <c r="H140" s="1">
        <v>0.1</v>
      </c>
      <c r="I140" s="3">
        <f t="shared" si="2"/>
        <v>0.14482758620689656</v>
      </c>
    </row>
    <row r="141" spans="1:9" x14ac:dyDescent="0.35">
      <c r="A141" t="s">
        <v>113</v>
      </c>
      <c r="B141" t="s">
        <v>19</v>
      </c>
      <c r="C141" t="s">
        <v>15</v>
      </c>
      <c r="D141">
        <v>2024</v>
      </c>
      <c r="E141" s="2">
        <v>90.1</v>
      </c>
      <c r="F141" s="4">
        <v>540</v>
      </c>
      <c r="G141">
        <v>4</v>
      </c>
      <c r="H141" s="1">
        <v>0.08</v>
      </c>
      <c r="I141" s="3">
        <f t="shared" si="2"/>
        <v>0.16685185185185183</v>
      </c>
    </row>
    <row r="142" spans="1:9" x14ac:dyDescent="0.35">
      <c r="A142" t="s">
        <v>114</v>
      </c>
      <c r="B142" t="s">
        <v>25</v>
      </c>
      <c r="C142" t="s">
        <v>10</v>
      </c>
      <c r="D142">
        <v>2023</v>
      </c>
      <c r="E142" s="2">
        <v>250.75</v>
      </c>
      <c r="F142" s="4">
        <v>1450</v>
      </c>
      <c r="G142">
        <v>3</v>
      </c>
      <c r="H142" s="1">
        <v>0.15</v>
      </c>
      <c r="I142" s="3">
        <f t="shared" si="2"/>
        <v>0.17293103448275862</v>
      </c>
    </row>
    <row r="143" spans="1:9" x14ac:dyDescent="0.35">
      <c r="A143" t="s">
        <v>115</v>
      </c>
      <c r="B143" t="s">
        <v>31</v>
      </c>
      <c r="C143" t="s">
        <v>15</v>
      </c>
      <c r="D143">
        <v>2022</v>
      </c>
      <c r="E143" s="2">
        <v>150.5</v>
      </c>
      <c r="F143" s="4">
        <v>950</v>
      </c>
      <c r="G143">
        <v>2</v>
      </c>
      <c r="H143" s="1">
        <v>0.1</v>
      </c>
      <c r="I143" s="3">
        <f t="shared" si="2"/>
        <v>0.15842105263157893</v>
      </c>
    </row>
    <row r="144" spans="1:9" x14ac:dyDescent="0.35">
      <c r="A144" t="s">
        <v>116</v>
      </c>
      <c r="B144" t="s">
        <v>29</v>
      </c>
      <c r="C144" t="s">
        <v>10</v>
      </c>
      <c r="D144">
        <v>2021</v>
      </c>
      <c r="E144" s="2">
        <v>110.2</v>
      </c>
      <c r="F144" s="4">
        <v>600</v>
      </c>
      <c r="G144">
        <v>8</v>
      </c>
      <c r="H144" s="1">
        <v>0.05</v>
      </c>
      <c r="I144" s="3">
        <f t="shared" si="2"/>
        <v>0.18366666666666667</v>
      </c>
    </row>
    <row r="145" spans="1:9" x14ac:dyDescent="0.35">
      <c r="A145" t="s">
        <v>117</v>
      </c>
      <c r="B145" t="s">
        <v>27</v>
      </c>
      <c r="C145" t="s">
        <v>15</v>
      </c>
      <c r="D145">
        <v>2024</v>
      </c>
      <c r="E145" s="2">
        <v>105.3</v>
      </c>
      <c r="F145" s="4">
        <v>620</v>
      </c>
      <c r="G145">
        <v>4</v>
      </c>
      <c r="H145" s="1">
        <v>0.12</v>
      </c>
      <c r="I145" s="3">
        <f t="shared" si="2"/>
        <v>0.16983870967741935</v>
      </c>
    </row>
    <row r="146" spans="1:9" x14ac:dyDescent="0.35">
      <c r="A146" t="s">
        <v>118</v>
      </c>
      <c r="B146" t="s">
        <v>39</v>
      </c>
      <c r="C146" t="s">
        <v>10</v>
      </c>
      <c r="D146">
        <v>2023</v>
      </c>
      <c r="E146" s="2">
        <v>80</v>
      </c>
      <c r="F146" s="4">
        <v>420</v>
      </c>
      <c r="G146">
        <v>10</v>
      </c>
      <c r="H146" s="1">
        <v>0.1</v>
      </c>
      <c r="I146" s="3">
        <f t="shared" si="2"/>
        <v>0.19047619047619047</v>
      </c>
    </row>
    <row r="147" spans="1:9" x14ac:dyDescent="0.35">
      <c r="A147" t="s">
        <v>119</v>
      </c>
      <c r="B147" t="s">
        <v>41</v>
      </c>
      <c r="C147" t="s">
        <v>15</v>
      </c>
      <c r="D147">
        <v>2022</v>
      </c>
      <c r="E147" s="2">
        <v>200</v>
      </c>
      <c r="F147" s="4">
        <v>1200</v>
      </c>
      <c r="G147">
        <v>2</v>
      </c>
      <c r="H147" s="1">
        <v>0.15</v>
      </c>
      <c r="I147" s="3">
        <f t="shared" si="2"/>
        <v>0.16666666666666666</v>
      </c>
    </row>
    <row r="148" spans="1:9" x14ac:dyDescent="0.35">
      <c r="A148" t="s">
        <v>120</v>
      </c>
      <c r="B148" t="s">
        <v>43</v>
      </c>
      <c r="C148" t="s">
        <v>10</v>
      </c>
      <c r="D148">
        <v>2021</v>
      </c>
      <c r="E148" s="2">
        <v>110.5</v>
      </c>
      <c r="F148" s="4">
        <v>700</v>
      </c>
      <c r="G148">
        <v>7</v>
      </c>
      <c r="H148" s="1">
        <v>0.08</v>
      </c>
      <c r="I148" s="3">
        <f t="shared" si="2"/>
        <v>0.15785714285714286</v>
      </c>
    </row>
    <row r="149" spans="1:9" x14ac:dyDescent="0.35">
      <c r="A149" t="s">
        <v>121</v>
      </c>
      <c r="B149" t="s">
        <v>48</v>
      </c>
      <c r="C149" t="s">
        <v>15</v>
      </c>
      <c r="D149">
        <v>2024</v>
      </c>
      <c r="E149" s="2">
        <v>270.75</v>
      </c>
      <c r="F149" s="4">
        <v>1900</v>
      </c>
      <c r="G149">
        <v>1</v>
      </c>
      <c r="H149" s="1">
        <v>0.1</v>
      </c>
      <c r="I149" s="3">
        <f t="shared" si="2"/>
        <v>0.14249999999999999</v>
      </c>
    </row>
    <row r="150" spans="1:9" x14ac:dyDescent="0.35">
      <c r="A150" t="s">
        <v>122</v>
      </c>
      <c r="B150" t="s">
        <v>35</v>
      </c>
      <c r="C150" t="s">
        <v>10</v>
      </c>
      <c r="D150">
        <v>2023</v>
      </c>
      <c r="E150" s="2">
        <v>145.6</v>
      </c>
      <c r="F150" s="4">
        <v>1250</v>
      </c>
      <c r="G150">
        <v>4</v>
      </c>
      <c r="H150" s="1">
        <v>0.05</v>
      </c>
      <c r="I150" s="3">
        <f t="shared" si="2"/>
        <v>0.11648</v>
      </c>
    </row>
    <row r="151" spans="1:9" x14ac:dyDescent="0.35">
      <c r="A151" t="s">
        <v>123</v>
      </c>
      <c r="B151" t="s">
        <v>37</v>
      </c>
      <c r="C151" t="s">
        <v>15</v>
      </c>
      <c r="D151">
        <v>2022</v>
      </c>
      <c r="E151" s="2">
        <v>65.099999999999994</v>
      </c>
      <c r="F151" s="4">
        <v>360</v>
      </c>
      <c r="G151">
        <v>5</v>
      </c>
      <c r="H151" s="1">
        <v>0.2</v>
      </c>
      <c r="I151" s="3">
        <f t="shared" si="2"/>
        <v>0.18083333333333332</v>
      </c>
    </row>
    <row r="152" spans="1:9" x14ac:dyDescent="0.35">
      <c r="A152" t="s">
        <v>124</v>
      </c>
      <c r="B152" t="s">
        <v>50</v>
      </c>
      <c r="C152" t="s">
        <v>10</v>
      </c>
      <c r="D152">
        <v>2021</v>
      </c>
      <c r="E152" s="2">
        <v>55.25</v>
      </c>
      <c r="F152" s="4">
        <v>260</v>
      </c>
      <c r="G152">
        <v>12</v>
      </c>
      <c r="H152" s="1">
        <v>0.15</v>
      </c>
      <c r="I152" s="3">
        <f t="shared" si="2"/>
        <v>0.21249999999999999</v>
      </c>
    </row>
    <row r="153" spans="1:9" x14ac:dyDescent="0.35">
      <c r="A153" t="s">
        <v>125</v>
      </c>
      <c r="B153" t="s">
        <v>14</v>
      </c>
      <c r="C153" t="s">
        <v>15</v>
      </c>
      <c r="D153">
        <v>2024</v>
      </c>
      <c r="E153" s="2">
        <v>125.4</v>
      </c>
      <c r="F153" s="4">
        <v>820</v>
      </c>
      <c r="G153">
        <v>3</v>
      </c>
      <c r="H153" s="1">
        <v>0.1</v>
      </c>
      <c r="I153" s="3">
        <f t="shared" si="2"/>
        <v>0.15292682926829268</v>
      </c>
    </row>
    <row r="154" spans="1:9" x14ac:dyDescent="0.35">
      <c r="A154" t="s">
        <v>126</v>
      </c>
      <c r="B154" t="s">
        <v>17</v>
      </c>
      <c r="C154" t="s">
        <v>10</v>
      </c>
      <c r="D154">
        <v>2023</v>
      </c>
      <c r="E154" s="2">
        <v>90.3</v>
      </c>
      <c r="F154" s="4">
        <v>490</v>
      </c>
      <c r="G154">
        <v>8</v>
      </c>
      <c r="H154" s="1">
        <v>0.08</v>
      </c>
      <c r="I154" s="3">
        <f t="shared" si="2"/>
        <v>0.18428571428571427</v>
      </c>
    </row>
    <row r="155" spans="1:9" x14ac:dyDescent="0.35">
      <c r="A155" t="s">
        <v>127</v>
      </c>
      <c r="B155" t="s">
        <v>23</v>
      </c>
      <c r="C155" t="s">
        <v>15</v>
      </c>
      <c r="D155">
        <v>2022</v>
      </c>
      <c r="E155" s="2">
        <v>140.5</v>
      </c>
      <c r="F155" s="4">
        <v>900</v>
      </c>
      <c r="G155">
        <v>3</v>
      </c>
      <c r="H155" s="1">
        <v>0.12</v>
      </c>
      <c r="I155" s="3">
        <f t="shared" si="2"/>
        <v>0.15611111111111112</v>
      </c>
    </row>
    <row r="156" spans="1:9" x14ac:dyDescent="0.35">
      <c r="A156" t="s">
        <v>100</v>
      </c>
      <c r="B156" t="s">
        <v>12</v>
      </c>
      <c r="C156" t="s">
        <v>10</v>
      </c>
      <c r="D156">
        <v>2021</v>
      </c>
      <c r="E156" s="2">
        <v>430.25</v>
      </c>
      <c r="F156" s="4">
        <v>3000</v>
      </c>
      <c r="G156">
        <v>2</v>
      </c>
      <c r="H156" s="1">
        <v>0.1</v>
      </c>
      <c r="I156" s="3">
        <f t="shared" si="2"/>
        <v>0.14341666666666666</v>
      </c>
    </row>
    <row r="157" spans="1:9" x14ac:dyDescent="0.35">
      <c r="A157" t="s">
        <v>101</v>
      </c>
      <c r="B157" t="s">
        <v>19</v>
      </c>
      <c r="C157" t="s">
        <v>15</v>
      </c>
      <c r="D157">
        <v>2024</v>
      </c>
      <c r="E157" s="2">
        <v>95.2</v>
      </c>
      <c r="F157" s="4">
        <v>560</v>
      </c>
      <c r="G157">
        <v>4</v>
      </c>
      <c r="H157" s="1">
        <v>0.05</v>
      </c>
      <c r="I157" s="3">
        <f t="shared" si="2"/>
        <v>0.17</v>
      </c>
    </row>
    <row r="158" spans="1:9" x14ac:dyDescent="0.35">
      <c r="A158" t="s">
        <v>102</v>
      </c>
      <c r="B158" t="s">
        <v>25</v>
      </c>
      <c r="C158" t="s">
        <v>10</v>
      </c>
      <c r="D158">
        <v>2023</v>
      </c>
      <c r="E158" s="2">
        <v>260.10000000000002</v>
      </c>
      <c r="F158" s="4">
        <v>1500</v>
      </c>
      <c r="G158">
        <v>3</v>
      </c>
      <c r="H158" s="1">
        <v>0.15</v>
      </c>
      <c r="I158" s="3">
        <f t="shared" si="2"/>
        <v>0.17340000000000003</v>
      </c>
    </row>
    <row r="159" spans="1:9" x14ac:dyDescent="0.35">
      <c r="A159" t="s">
        <v>103</v>
      </c>
      <c r="B159" t="s">
        <v>31</v>
      </c>
      <c r="C159" t="s">
        <v>15</v>
      </c>
      <c r="D159">
        <v>2022</v>
      </c>
      <c r="E159" s="2">
        <v>155.75</v>
      </c>
      <c r="F159" s="4">
        <v>980</v>
      </c>
      <c r="G159">
        <v>2</v>
      </c>
      <c r="H159" s="1">
        <v>0.1</v>
      </c>
      <c r="I159" s="3">
        <f t="shared" si="2"/>
        <v>0.15892857142857142</v>
      </c>
    </row>
    <row r="160" spans="1:9" x14ac:dyDescent="0.35">
      <c r="A160" t="s">
        <v>104</v>
      </c>
      <c r="B160" t="s">
        <v>29</v>
      </c>
      <c r="C160" t="s">
        <v>10</v>
      </c>
      <c r="D160">
        <v>2021</v>
      </c>
      <c r="E160" s="2">
        <v>115.4</v>
      </c>
      <c r="F160" s="4">
        <v>620</v>
      </c>
      <c r="G160">
        <v>8</v>
      </c>
      <c r="H160" s="1">
        <v>0.08</v>
      </c>
      <c r="I160" s="3">
        <f t="shared" si="2"/>
        <v>0.18612903225806451</v>
      </c>
    </row>
    <row r="161" spans="1:9" x14ac:dyDescent="0.35">
      <c r="A161" t="s">
        <v>105</v>
      </c>
      <c r="B161" t="s">
        <v>27</v>
      </c>
      <c r="C161" t="s">
        <v>15</v>
      </c>
      <c r="D161">
        <v>2024</v>
      </c>
      <c r="E161" s="2">
        <v>110.5</v>
      </c>
      <c r="F161" s="4">
        <v>640</v>
      </c>
      <c r="G161">
        <v>4</v>
      </c>
      <c r="H161" s="1">
        <v>0.12</v>
      </c>
      <c r="I161" s="3">
        <f t="shared" si="2"/>
        <v>0.17265625000000001</v>
      </c>
    </row>
    <row r="162" spans="1:9" x14ac:dyDescent="0.35">
      <c r="A162" t="s">
        <v>106</v>
      </c>
      <c r="B162" t="s">
        <v>39</v>
      </c>
      <c r="C162" t="s">
        <v>10</v>
      </c>
      <c r="D162">
        <v>2023</v>
      </c>
      <c r="E162" s="2">
        <v>85</v>
      </c>
      <c r="F162" s="4">
        <v>440</v>
      </c>
      <c r="G162">
        <v>10</v>
      </c>
      <c r="H162" s="1">
        <v>0.1</v>
      </c>
      <c r="I162" s="3">
        <f t="shared" si="2"/>
        <v>0.19318181818181818</v>
      </c>
    </row>
    <row r="163" spans="1:9" x14ac:dyDescent="0.35">
      <c r="A163" t="s">
        <v>107</v>
      </c>
      <c r="B163" t="s">
        <v>41</v>
      </c>
      <c r="C163" t="s">
        <v>15</v>
      </c>
      <c r="D163">
        <v>2022</v>
      </c>
      <c r="E163" s="2">
        <v>210.25</v>
      </c>
      <c r="F163" s="4">
        <v>1250</v>
      </c>
      <c r="G163">
        <v>2</v>
      </c>
      <c r="H163" s="1">
        <v>0.15</v>
      </c>
      <c r="I163" s="3">
        <f t="shared" si="2"/>
        <v>0.16819999999999999</v>
      </c>
    </row>
    <row r="164" spans="1:9" x14ac:dyDescent="0.35">
      <c r="A164" t="s">
        <v>108</v>
      </c>
      <c r="B164" t="s">
        <v>43</v>
      </c>
      <c r="C164" t="s">
        <v>10</v>
      </c>
      <c r="D164">
        <v>2021</v>
      </c>
      <c r="E164" s="2">
        <v>115.6</v>
      </c>
      <c r="F164" s="4">
        <v>720</v>
      </c>
      <c r="G164">
        <v>7</v>
      </c>
      <c r="H164" s="1">
        <v>0.08</v>
      </c>
      <c r="I164" s="3">
        <f t="shared" si="2"/>
        <v>0.16055555555555553</v>
      </c>
    </row>
    <row r="165" spans="1:9" x14ac:dyDescent="0.35">
      <c r="A165" t="s">
        <v>109</v>
      </c>
      <c r="B165" t="s">
        <v>48</v>
      </c>
      <c r="C165" t="s">
        <v>15</v>
      </c>
      <c r="D165">
        <v>2024</v>
      </c>
      <c r="E165" s="2">
        <v>280</v>
      </c>
      <c r="F165" s="4">
        <v>1950</v>
      </c>
      <c r="G165">
        <v>1</v>
      </c>
      <c r="H165" s="1">
        <v>0.1</v>
      </c>
      <c r="I165" s="3">
        <f t="shared" si="2"/>
        <v>0.14358974358974358</v>
      </c>
    </row>
    <row r="166" spans="1:9" x14ac:dyDescent="0.35">
      <c r="A166" t="s">
        <v>110</v>
      </c>
      <c r="B166" t="s">
        <v>35</v>
      </c>
      <c r="C166" t="s">
        <v>10</v>
      </c>
      <c r="D166">
        <v>2023</v>
      </c>
      <c r="E166" s="2">
        <v>150.75</v>
      </c>
      <c r="F166" s="4">
        <v>1300</v>
      </c>
      <c r="G166">
        <v>4</v>
      </c>
      <c r="H166" s="1">
        <v>0.05</v>
      </c>
      <c r="I166" s="3">
        <f t="shared" si="2"/>
        <v>0.11596153846153846</v>
      </c>
    </row>
    <row r="167" spans="1:9" x14ac:dyDescent="0.35">
      <c r="A167" t="s">
        <v>111</v>
      </c>
      <c r="B167" t="s">
        <v>37</v>
      </c>
      <c r="C167" t="s">
        <v>15</v>
      </c>
      <c r="D167">
        <v>2022</v>
      </c>
      <c r="E167" s="2">
        <v>70.2</v>
      </c>
      <c r="F167" s="4">
        <v>380</v>
      </c>
      <c r="G167">
        <v>5</v>
      </c>
      <c r="H167" s="1">
        <v>0.2</v>
      </c>
      <c r="I167" s="3">
        <f t="shared" si="2"/>
        <v>0.18473684210526317</v>
      </c>
    </row>
    <row r="168" spans="1:9" x14ac:dyDescent="0.35">
      <c r="A168" t="s">
        <v>112</v>
      </c>
      <c r="B168" t="s">
        <v>50</v>
      </c>
      <c r="C168" t="s">
        <v>10</v>
      </c>
      <c r="D168">
        <v>2021</v>
      </c>
      <c r="E168" s="2">
        <v>60.1</v>
      </c>
      <c r="F168" s="4">
        <v>280</v>
      </c>
      <c r="G168">
        <v>12</v>
      </c>
      <c r="H168" s="1">
        <v>0.15</v>
      </c>
      <c r="I168" s="3">
        <f t="shared" si="2"/>
        <v>0.21464285714285714</v>
      </c>
    </row>
    <row r="169" spans="1:9" x14ac:dyDescent="0.35">
      <c r="A169" t="s">
        <v>113</v>
      </c>
      <c r="B169" t="s">
        <v>14</v>
      </c>
      <c r="C169" t="s">
        <v>15</v>
      </c>
      <c r="D169">
        <v>2024</v>
      </c>
      <c r="E169" s="2">
        <v>130.5</v>
      </c>
      <c r="F169" s="4">
        <v>850</v>
      </c>
      <c r="G169">
        <v>3</v>
      </c>
      <c r="H169" s="1">
        <v>0.1</v>
      </c>
      <c r="I169" s="3">
        <f t="shared" si="2"/>
        <v>0.15352941176470589</v>
      </c>
    </row>
    <row r="170" spans="1:9" x14ac:dyDescent="0.35">
      <c r="A170" t="s">
        <v>114</v>
      </c>
      <c r="B170" t="s">
        <v>17</v>
      </c>
      <c r="C170" t="s">
        <v>10</v>
      </c>
      <c r="D170">
        <v>2023</v>
      </c>
      <c r="E170" s="2">
        <v>95.4</v>
      </c>
      <c r="F170" s="4">
        <v>510</v>
      </c>
      <c r="G170">
        <v>8</v>
      </c>
      <c r="H170" s="1">
        <v>0.08</v>
      </c>
      <c r="I170" s="3">
        <f t="shared" si="2"/>
        <v>0.18705882352941178</v>
      </c>
    </row>
    <row r="171" spans="1:9" x14ac:dyDescent="0.35">
      <c r="A171" t="s">
        <v>115</v>
      </c>
      <c r="B171" t="s">
        <v>23</v>
      </c>
      <c r="C171" t="s">
        <v>15</v>
      </c>
      <c r="D171">
        <v>2022</v>
      </c>
      <c r="E171" s="2">
        <v>145.6</v>
      </c>
      <c r="F171" s="4">
        <v>920</v>
      </c>
      <c r="G171">
        <v>3</v>
      </c>
      <c r="H171" s="1">
        <v>0.12</v>
      </c>
      <c r="I171" s="3">
        <f t="shared" si="2"/>
        <v>0.15826086956521737</v>
      </c>
    </row>
    <row r="172" spans="1:9" x14ac:dyDescent="0.35">
      <c r="A172" t="s">
        <v>116</v>
      </c>
      <c r="B172" t="s">
        <v>12</v>
      </c>
      <c r="C172" t="s">
        <v>10</v>
      </c>
      <c r="D172">
        <v>2021</v>
      </c>
      <c r="E172" s="2">
        <v>440</v>
      </c>
      <c r="F172" s="4">
        <v>3100</v>
      </c>
      <c r="G172">
        <v>2</v>
      </c>
      <c r="H172" s="1">
        <v>0.1</v>
      </c>
      <c r="I172" s="3">
        <f t="shared" si="2"/>
        <v>0.14193548387096774</v>
      </c>
    </row>
    <row r="173" spans="1:9" x14ac:dyDescent="0.35">
      <c r="A173" t="s">
        <v>117</v>
      </c>
      <c r="B173" t="s">
        <v>19</v>
      </c>
      <c r="C173" t="s">
        <v>15</v>
      </c>
      <c r="D173">
        <v>2024</v>
      </c>
      <c r="E173" s="2">
        <v>100.25</v>
      </c>
      <c r="F173" s="4">
        <v>580</v>
      </c>
      <c r="G173">
        <v>4</v>
      </c>
      <c r="H173" s="1">
        <v>0.05</v>
      </c>
      <c r="I173" s="3">
        <f t="shared" si="2"/>
        <v>0.1728448275862069</v>
      </c>
    </row>
    <row r="174" spans="1:9" x14ac:dyDescent="0.35">
      <c r="A174" t="s">
        <v>118</v>
      </c>
      <c r="B174" t="s">
        <v>25</v>
      </c>
      <c r="C174" t="s">
        <v>10</v>
      </c>
      <c r="D174">
        <v>2023</v>
      </c>
      <c r="E174" s="2">
        <v>270.3</v>
      </c>
      <c r="F174" s="4">
        <v>1550</v>
      </c>
      <c r="G174">
        <v>3</v>
      </c>
      <c r="H174" s="1">
        <v>0.15</v>
      </c>
      <c r="I174" s="3">
        <f t="shared" si="2"/>
        <v>0.17438709677419356</v>
      </c>
    </row>
    <row r="175" spans="1:9" x14ac:dyDescent="0.35">
      <c r="A175" t="s">
        <v>119</v>
      </c>
      <c r="B175" t="s">
        <v>31</v>
      </c>
      <c r="C175" t="s">
        <v>15</v>
      </c>
      <c r="D175">
        <v>2022</v>
      </c>
      <c r="E175" s="2">
        <v>160</v>
      </c>
      <c r="F175" s="4">
        <v>1000</v>
      </c>
      <c r="G175">
        <v>2</v>
      </c>
      <c r="H175" s="1">
        <v>0.1</v>
      </c>
      <c r="I175" s="3">
        <f t="shared" si="2"/>
        <v>0.16</v>
      </c>
    </row>
    <row r="176" spans="1:9" x14ac:dyDescent="0.35">
      <c r="A176" t="s">
        <v>120</v>
      </c>
      <c r="B176" t="s">
        <v>29</v>
      </c>
      <c r="C176" t="s">
        <v>10</v>
      </c>
      <c r="D176">
        <v>2021</v>
      </c>
      <c r="E176" s="2">
        <v>120.5</v>
      </c>
      <c r="F176" s="4">
        <v>640</v>
      </c>
      <c r="G176">
        <v>8</v>
      </c>
      <c r="H176" s="1">
        <v>0.08</v>
      </c>
      <c r="I176" s="3">
        <f t="shared" si="2"/>
        <v>0.18828125000000001</v>
      </c>
    </row>
    <row r="177" spans="1:9" x14ac:dyDescent="0.35">
      <c r="A177" t="s">
        <v>121</v>
      </c>
      <c r="B177" t="s">
        <v>27</v>
      </c>
      <c r="C177" t="s">
        <v>15</v>
      </c>
      <c r="D177">
        <v>2024</v>
      </c>
      <c r="E177" s="2">
        <v>115.75</v>
      </c>
      <c r="F177" s="4">
        <v>660</v>
      </c>
      <c r="G177">
        <v>4</v>
      </c>
      <c r="H177" s="1">
        <v>0.12</v>
      </c>
      <c r="I177" s="3">
        <f t="shared" si="2"/>
        <v>0.17537878787878788</v>
      </c>
    </row>
    <row r="178" spans="1:9" x14ac:dyDescent="0.35">
      <c r="A178" t="s">
        <v>122</v>
      </c>
      <c r="B178" t="s">
        <v>39</v>
      </c>
      <c r="C178" t="s">
        <v>10</v>
      </c>
      <c r="D178">
        <v>2023</v>
      </c>
      <c r="E178" s="2">
        <v>90.1</v>
      </c>
      <c r="F178" s="4">
        <v>460</v>
      </c>
      <c r="G178">
        <v>10</v>
      </c>
      <c r="H178" s="1">
        <v>0.1</v>
      </c>
      <c r="I178" s="3">
        <f t="shared" si="2"/>
        <v>0.19586956521739129</v>
      </c>
    </row>
    <row r="179" spans="1:9" x14ac:dyDescent="0.35">
      <c r="A179" t="s">
        <v>123</v>
      </c>
      <c r="B179" t="s">
        <v>41</v>
      </c>
      <c r="C179" t="s">
        <v>15</v>
      </c>
      <c r="D179">
        <v>2022</v>
      </c>
      <c r="E179" s="2">
        <v>220.4</v>
      </c>
      <c r="F179" s="4">
        <v>1300</v>
      </c>
      <c r="G179">
        <v>2</v>
      </c>
      <c r="H179" s="1">
        <v>0.15</v>
      </c>
      <c r="I179" s="3">
        <f t="shared" si="2"/>
        <v>0.16953846153846155</v>
      </c>
    </row>
    <row r="180" spans="1:9" x14ac:dyDescent="0.35">
      <c r="A180" t="s">
        <v>124</v>
      </c>
      <c r="B180" t="s">
        <v>43</v>
      </c>
      <c r="C180" t="s">
        <v>10</v>
      </c>
      <c r="D180">
        <v>2021</v>
      </c>
      <c r="E180" s="2">
        <v>120.75</v>
      </c>
      <c r="F180" s="4">
        <v>740</v>
      </c>
      <c r="G180">
        <v>7</v>
      </c>
      <c r="H180" s="1">
        <v>0.08</v>
      </c>
      <c r="I180" s="3">
        <f t="shared" si="2"/>
        <v>0.16317567567567567</v>
      </c>
    </row>
    <row r="181" spans="1:9" x14ac:dyDescent="0.35">
      <c r="A181" t="s">
        <v>125</v>
      </c>
      <c r="B181" t="s">
        <v>48</v>
      </c>
      <c r="C181" t="s">
        <v>15</v>
      </c>
      <c r="D181">
        <v>2024</v>
      </c>
      <c r="E181" s="2">
        <v>290.10000000000002</v>
      </c>
      <c r="F181" s="4">
        <v>2000</v>
      </c>
      <c r="G181">
        <v>1</v>
      </c>
      <c r="H181" s="1">
        <v>0.1</v>
      </c>
      <c r="I181" s="3">
        <f t="shared" si="2"/>
        <v>0.14505000000000001</v>
      </c>
    </row>
    <row r="182" spans="1:9" x14ac:dyDescent="0.35">
      <c r="A182" t="s">
        <v>126</v>
      </c>
      <c r="B182" t="s">
        <v>35</v>
      </c>
      <c r="C182" t="s">
        <v>10</v>
      </c>
      <c r="D182">
        <v>2023</v>
      </c>
      <c r="E182" s="2">
        <v>155.19999999999999</v>
      </c>
      <c r="F182" s="4">
        <v>1350</v>
      </c>
      <c r="G182">
        <v>4</v>
      </c>
      <c r="H182" s="1">
        <v>0.05</v>
      </c>
      <c r="I182" s="3">
        <f t="shared" si="2"/>
        <v>0.11496296296296296</v>
      </c>
    </row>
    <row r="183" spans="1:9" x14ac:dyDescent="0.35">
      <c r="A183" t="s">
        <v>127</v>
      </c>
      <c r="B183" t="s">
        <v>37</v>
      </c>
      <c r="C183" t="s">
        <v>15</v>
      </c>
      <c r="D183">
        <v>2022</v>
      </c>
      <c r="E183" s="2">
        <v>75.3</v>
      </c>
      <c r="F183" s="4">
        <v>400</v>
      </c>
      <c r="G183">
        <v>5</v>
      </c>
      <c r="H183" s="1">
        <v>0.2</v>
      </c>
      <c r="I183" s="3">
        <f t="shared" si="2"/>
        <v>0.18825</v>
      </c>
    </row>
    <row r="184" spans="1:9" x14ac:dyDescent="0.35">
      <c r="A184" t="s">
        <v>100</v>
      </c>
      <c r="B184" t="s">
        <v>50</v>
      </c>
      <c r="C184" t="s">
        <v>10</v>
      </c>
      <c r="D184">
        <v>2021</v>
      </c>
      <c r="E184" s="2">
        <v>65</v>
      </c>
      <c r="F184" s="4">
        <v>300</v>
      </c>
      <c r="G184">
        <v>12</v>
      </c>
      <c r="H184" s="1">
        <v>0.15</v>
      </c>
      <c r="I184" s="3">
        <f t="shared" si="2"/>
        <v>0.21666666666666667</v>
      </c>
    </row>
    <row r="185" spans="1:9" x14ac:dyDescent="0.35">
      <c r="A185" t="s">
        <v>101</v>
      </c>
      <c r="B185" t="s">
        <v>14</v>
      </c>
      <c r="C185" t="s">
        <v>15</v>
      </c>
      <c r="D185">
        <v>2024</v>
      </c>
      <c r="E185" s="2">
        <v>135.5</v>
      </c>
      <c r="F185" s="4">
        <v>880</v>
      </c>
      <c r="G185">
        <v>3</v>
      </c>
      <c r="H185" s="1">
        <v>0.1</v>
      </c>
      <c r="I185" s="3">
        <f t="shared" si="2"/>
        <v>0.15397727272727274</v>
      </c>
    </row>
    <row r="186" spans="1:9" x14ac:dyDescent="0.35">
      <c r="A186" t="s">
        <v>102</v>
      </c>
      <c r="B186" t="s">
        <v>17</v>
      </c>
      <c r="C186" t="s">
        <v>10</v>
      </c>
      <c r="D186">
        <v>2023</v>
      </c>
      <c r="E186" s="2">
        <v>100.25</v>
      </c>
      <c r="F186" s="4">
        <v>530</v>
      </c>
      <c r="G186">
        <v>8</v>
      </c>
      <c r="H186" s="1">
        <v>0.08</v>
      </c>
      <c r="I186" s="3">
        <f t="shared" si="2"/>
        <v>0.18915094339622643</v>
      </c>
    </row>
    <row r="187" spans="1:9" x14ac:dyDescent="0.35">
      <c r="A187" t="s">
        <v>103</v>
      </c>
      <c r="B187" t="s">
        <v>23</v>
      </c>
      <c r="C187" t="s">
        <v>15</v>
      </c>
      <c r="D187">
        <v>2022</v>
      </c>
      <c r="E187" s="2">
        <v>150.75</v>
      </c>
      <c r="F187" s="4">
        <v>950</v>
      </c>
      <c r="G187">
        <v>3</v>
      </c>
      <c r="H187" s="1">
        <v>0.12</v>
      </c>
      <c r="I187" s="3">
        <f t="shared" si="2"/>
        <v>0.15868421052631579</v>
      </c>
    </row>
    <row r="188" spans="1:9" x14ac:dyDescent="0.35">
      <c r="A188" t="s">
        <v>104</v>
      </c>
      <c r="B188" t="s">
        <v>12</v>
      </c>
      <c r="C188" t="s">
        <v>10</v>
      </c>
      <c r="D188">
        <v>2021</v>
      </c>
      <c r="E188" s="2">
        <v>450</v>
      </c>
      <c r="F188" s="4">
        <v>3200</v>
      </c>
      <c r="G188">
        <v>2</v>
      </c>
      <c r="H188" s="1">
        <v>0.1</v>
      </c>
      <c r="I188" s="3">
        <f t="shared" si="2"/>
        <v>0.140625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C960-0C7B-4DFC-8C4E-F969F5F4F3FE}">
  <dimension ref="A1:AD76"/>
  <sheetViews>
    <sheetView zoomScale="52" zoomScaleNormal="52" workbookViewId="0">
      <selection activeCell="F34" sqref="F34"/>
    </sheetView>
  </sheetViews>
  <sheetFormatPr defaultRowHeight="14.5" x14ac:dyDescent="0.35"/>
  <cols>
    <col min="1" max="1" width="14.6328125" bestFit="1" customWidth="1"/>
    <col min="2" max="2" width="14.7265625" bestFit="1" customWidth="1"/>
    <col min="3" max="4" width="12.6328125" bestFit="1" customWidth="1"/>
    <col min="5" max="7" width="10.26953125" bestFit="1" customWidth="1"/>
    <col min="8" max="8" width="10.7265625" bestFit="1" customWidth="1"/>
    <col min="9" max="9" width="22.1796875" bestFit="1" customWidth="1"/>
    <col min="10" max="10" width="11.453125" bestFit="1" customWidth="1"/>
    <col min="11" max="11" width="18.26953125" bestFit="1" customWidth="1"/>
    <col min="12" max="13" width="11.54296875" bestFit="1" customWidth="1"/>
    <col min="14" max="14" width="11.08984375" bestFit="1" customWidth="1"/>
    <col min="15" max="15" width="11.453125" bestFit="1" customWidth="1"/>
    <col min="16" max="16" width="11.08984375" bestFit="1" customWidth="1"/>
    <col min="17" max="17" width="6.7265625" bestFit="1" customWidth="1"/>
    <col min="18" max="18" width="17.54296875" bestFit="1" customWidth="1"/>
    <col min="19" max="19" width="11.81640625" bestFit="1" customWidth="1"/>
    <col min="20" max="20" width="17.54296875" bestFit="1" customWidth="1"/>
    <col min="21" max="21" width="15.7265625" bestFit="1" customWidth="1"/>
    <col min="22" max="22" width="11.81640625" bestFit="1" customWidth="1"/>
    <col min="23" max="23" width="18.26953125" bestFit="1" customWidth="1"/>
    <col min="24" max="25" width="12.6328125" bestFit="1" customWidth="1"/>
    <col min="26" max="26" width="26.6328125" bestFit="1" customWidth="1"/>
    <col min="27" max="27" width="17.81640625" bestFit="1" customWidth="1"/>
    <col min="28" max="28" width="19.26953125" bestFit="1" customWidth="1"/>
    <col min="29" max="29" width="18.1796875" bestFit="1" customWidth="1"/>
    <col min="30" max="30" width="15.6328125" bestFit="1" customWidth="1"/>
    <col min="31" max="31" width="12.1796875" bestFit="1" customWidth="1"/>
    <col min="32" max="33" width="10.90625" bestFit="1" customWidth="1"/>
    <col min="34" max="34" width="13.453125" bestFit="1" customWidth="1"/>
    <col min="35" max="35" width="12" bestFit="1" customWidth="1"/>
  </cols>
  <sheetData>
    <row r="1" spans="1:30" x14ac:dyDescent="0.35">
      <c r="A1" s="5" t="s">
        <v>129</v>
      </c>
      <c r="B1" s="5" t="s">
        <v>2</v>
      </c>
      <c r="I1" s="5" t="s">
        <v>131</v>
      </c>
      <c r="J1" s="5" t="s">
        <v>7</v>
      </c>
      <c r="U1" s="5" t="s">
        <v>2</v>
      </c>
      <c r="V1" s="5" t="s">
        <v>3</v>
      </c>
      <c r="W1" t="s">
        <v>134</v>
      </c>
      <c r="X1" t="s">
        <v>129</v>
      </c>
      <c r="AB1" s="5" t="s">
        <v>1</v>
      </c>
      <c r="AC1" s="5" t="s">
        <v>0</v>
      </c>
      <c r="AD1" t="s">
        <v>137</v>
      </c>
    </row>
    <row r="2" spans="1:30" x14ac:dyDescent="0.35">
      <c r="A2" s="5" t="s">
        <v>3</v>
      </c>
      <c r="B2" t="s">
        <v>10</v>
      </c>
      <c r="C2" t="s">
        <v>15</v>
      </c>
      <c r="D2" t="s">
        <v>130</v>
      </c>
      <c r="I2" s="5" t="s">
        <v>1</v>
      </c>
      <c r="J2" s="6">
        <v>0.05</v>
      </c>
      <c r="K2" s="6">
        <v>0.08</v>
      </c>
      <c r="L2" s="6">
        <v>0.1</v>
      </c>
      <c r="M2" s="6">
        <v>0.12</v>
      </c>
      <c r="N2" s="6">
        <v>0.15</v>
      </c>
      <c r="O2" s="6">
        <v>0.2</v>
      </c>
      <c r="P2" t="s">
        <v>130</v>
      </c>
      <c r="U2" t="s">
        <v>10</v>
      </c>
      <c r="V2">
        <v>2021</v>
      </c>
      <c r="W2" s="7">
        <v>9.9230769230769261E-2</v>
      </c>
      <c r="X2" s="2">
        <v>6372.85</v>
      </c>
      <c r="AB2" t="s">
        <v>19</v>
      </c>
      <c r="AC2" t="s">
        <v>88</v>
      </c>
      <c r="AD2">
        <v>1</v>
      </c>
    </row>
    <row r="3" spans="1:30" x14ac:dyDescent="0.35">
      <c r="A3">
        <v>2021</v>
      </c>
      <c r="B3" s="2">
        <v>6372.85</v>
      </c>
      <c r="C3" s="2">
        <v>557.65</v>
      </c>
      <c r="D3" s="2">
        <v>6930.5</v>
      </c>
      <c r="I3" t="s">
        <v>23</v>
      </c>
      <c r="J3" s="2"/>
      <c r="K3" s="2">
        <v>0.14803174603174604</v>
      </c>
      <c r="L3" s="2">
        <v>0.14742307692307693</v>
      </c>
      <c r="M3" s="2">
        <v>0.15330194207199285</v>
      </c>
      <c r="N3" s="2">
        <v>0.15323529411764705</v>
      </c>
      <c r="O3" s="2"/>
      <c r="P3" s="2">
        <v>0.15117617542792222</v>
      </c>
      <c r="V3">
        <v>2022</v>
      </c>
      <c r="W3" s="7">
        <v>0.12</v>
      </c>
      <c r="X3" s="2">
        <v>1323.15</v>
      </c>
      <c r="AB3" t="s">
        <v>23</v>
      </c>
      <c r="AC3" t="s">
        <v>77</v>
      </c>
      <c r="AD3">
        <v>1</v>
      </c>
    </row>
    <row r="4" spans="1:30" x14ac:dyDescent="0.35">
      <c r="A4">
        <v>2022</v>
      </c>
      <c r="B4" s="2">
        <v>1323.15</v>
      </c>
      <c r="C4" s="2">
        <v>4393.2</v>
      </c>
      <c r="D4" s="2">
        <v>5716.35</v>
      </c>
      <c r="I4" t="s">
        <v>41</v>
      </c>
      <c r="J4" s="2">
        <v>0.16424430641821947</v>
      </c>
      <c r="K4" s="2"/>
      <c r="L4" s="2">
        <v>0.158</v>
      </c>
      <c r="M4" s="2">
        <v>0.15686470588235293</v>
      </c>
      <c r="N4" s="2">
        <v>0.1647194094794095</v>
      </c>
      <c r="O4" s="2"/>
      <c r="P4" s="2">
        <v>0.16238150719981922</v>
      </c>
      <c r="V4">
        <v>2023</v>
      </c>
      <c r="W4" s="7">
        <v>0.10024999999999999</v>
      </c>
      <c r="X4" s="2">
        <v>5047.3</v>
      </c>
      <c r="AB4" t="s">
        <v>41</v>
      </c>
      <c r="AC4" t="s">
        <v>62</v>
      </c>
      <c r="AD4">
        <v>1</v>
      </c>
    </row>
    <row r="5" spans="1:30" x14ac:dyDescent="0.35">
      <c r="A5">
        <v>2023</v>
      </c>
      <c r="B5" s="2">
        <v>5047.3</v>
      </c>
      <c r="C5" s="2">
        <v>811.95</v>
      </c>
      <c r="D5" s="2">
        <v>5859.25</v>
      </c>
      <c r="I5" t="s">
        <v>19</v>
      </c>
      <c r="J5" s="2">
        <v>0.16671570771488234</v>
      </c>
      <c r="K5" s="2">
        <v>0.15835412605588042</v>
      </c>
      <c r="L5" s="2">
        <v>0.15284920634920635</v>
      </c>
      <c r="M5" s="2">
        <v>0.15611111111111112</v>
      </c>
      <c r="N5" s="2"/>
      <c r="O5" s="2"/>
      <c r="P5" s="2">
        <v>0.15968944901690005</v>
      </c>
      <c r="V5">
        <v>2024</v>
      </c>
      <c r="W5" s="7">
        <v>0.10777777777777778</v>
      </c>
      <c r="X5" s="2">
        <v>1088.25</v>
      </c>
      <c r="AB5" t="s">
        <v>17</v>
      </c>
      <c r="AC5" t="s">
        <v>102</v>
      </c>
      <c r="AD5">
        <v>2</v>
      </c>
    </row>
    <row r="6" spans="1:30" x14ac:dyDescent="0.35">
      <c r="A6">
        <v>2024</v>
      </c>
      <c r="B6" s="2">
        <v>1088.25</v>
      </c>
      <c r="C6" s="2">
        <v>5142.6000000000004</v>
      </c>
      <c r="D6" s="2">
        <v>6230.85</v>
      </c>
      <c r="I6" t="s">
        <v>14</v>
      </c>
      <c r="J6" s="2">
        <v>0.14795028490028492</v>
      </c>
      <c r="K6" s="2"/>
      <c r="L6" s="2">
        <v>0.1506975280949456</v>
      </c>
      <c r="M6" s="2"/>
      <c r="N6" s="2"/>
      <c r="O6" s="2"/>
      <c r="P6" s="2">
        <v>0.15001071729628043</v>
      </c>
      <c r="U6" t="s">
        <v>135</v>
      </c>
      <c r="W6" s="7">
        <v>0.10255102040816329</v>
      </c>
      <c r="X6" s="2">
        <v>13831.55</v>
      </c>
      <c r="AB6" t="s">
        <v>12</v>
      </c>
      <c r="AC6" t="s">
        <v>104</v>
      </c>
      <c r="AD6">
        <v>2</v>
      </c>
    </row>
    <row r="7" spans="1:30" x14ac:dyDescent="0.35">
      <c r="A7" t="s">
        <v>130</v>
      </c>
      <c r="B7" s="2">
        <v>13831.55</v>
      </c>
      <c r="C7" s="2">
        <v>10905.4</v>
      </c>
      <c r="D7" s="2">
        <v>24736.95</v>
      </c>
      <c r="I7" t="s">
        <v>17</v>
      </c>
      <c r="J7" s="2">
        <v>0.16985994414417843</v>
      </c>
      <c r="K7" s="2">
        <v>0.18023963678281102</v>
      </c>
      <c r="L7" s="2"/>
      <c r="M7" s="2">
        <v>0.15742857142857145</v>
      </c>
      <c r="N7" s="2">
        <v>0.17134146341463416</v>
      </c>
      <c r="O7" s="2">
        <v>0.151</v>
      </c>
      <c r="P7" s="2">
        <v>0.1717006662778312</v>
      </c>
      <c r="U7" t="s">
        <v>15</v>
      </c>
      <c r="V7">
        <v>2021</v>
      </c>
      <c r="W7" s="7">
        <v>0.14285714285714285</v>
      </c>
      <c r="X7" s="2">
        <v>557.65</v>
      </c>
      <c r="AB7" t="s">
        <v>130</v>
      </c>
      <c r="AD7">
        <v>7</v>
      </c>
    </row>
    <row r="8" spans="1:30" x14ac:dyDescent="0.35">
      <c r="I8" t="s">
        <v>39</v>
      </c>
      <c r="J8" s="2"/>
      <c r="K8" s="2"/>
      <c r="L8" s="2">
        <v>0.1789861576324524</v>
      </c>
      <c r="M8" s="2"/>
      <c r="N8" s="2"/>
      <c r="O8" s="2"/>
      <c r="P8" s="2">
        <v>0.1789861576324524</v>
      </c>
      <c r="V8">
        <v>2022</v>
      </c>
      <c r="W8" s="7">
        <v>0.12621621621621623</v>
      </c>
      <c r="X8" s="2">
        <v>4393.2</v>
      </c>
    </row>
    <row r="9" spans="1:30" x14ac:dyDescent="0.35">
      <c r="I9" t="s">
        <v>37</v>
      </c>
      <c r="J9" s="2">
        <v>0.1265</v>
      </c>
      <c r="K9" s="2"/>
      <c r="L9" s="2"/>
      <c r="M9" s="2"/>
      <c r="N9" s="2"/>
      <c r="O9" s="2">
        <v>0.16733256981022074</v>
      </c>
      <c r="P9" s="2">
        <v>0.16362051800929159</v>
      </c>
      <c r="V9">
        <v>2023</v>
      </c>
      <c r="W9" s="7">
        <v>0.10375</v>
      </c>
      <c r="X9" s="2">
        <v>811.95</v>
      </c>
    </row>
    <row r="10" spans="1:30" x14ac:dyDescent="0.35">
      <c r="I10" t="s">
        <v>12</v>
      </c>
      <c r="J10" s="2"/>
      <c r="K10" s="2"/>
      <c r="L10" s="2">
        <v>0.14599222187532115</v>
      </c>
      <c r="M10" s="2">
        <v>0.15931818181818183</v>
      </c>
      <c r="N10" s="2">
        <v>0.1537240338164251</v>
      </c>
      <c r="O10" s="2"/>
      <c r="P10" s="2">
        <v>0.14903567152250222</v>
      </c>
      <c r="V10">
        <v>2024</v>
      </c>
      <c r="W10" s="7">
        <v>9.8918918918918949E-2</v>
      </c>
      <c r="X10" s="2">
        <v>5142.6000000000004</v>
      </c>
    </row>
    <row r="11" spans="1:30" x14ac:dyDescent="0.35">
      <c r="I11" t="s">
        <v>25</v>
      </c>
      <c r="J11" s="2">
        <v>0.16716666666666666</v>
      </c>
      <c r="K11" s="2">
        <v>0.16824</v>
      </c>
      <c r="L11" s="2">
        <v>0.16559864953886694</v>
      </c>
      <c r="M11" s="2">
        <v>0.17073626373626372</v>
      </c>
      <c r="N11" s="2">
        <v>0.17288323651794174</v>
      </c>
      <c r="O11" s="2"/>
      <c r="P11" s="2">
        <v>0.16956437171159655</v>
      </c>
      <c r="U11" t="s">
        <v>136</v>
      </c>
      <c r="W11" s="7">
        <v>0.11415730337078644</v>
      </c>
      <c r="X11" s="2">
        <v>10905.4</v>
      </c>
    </row>
    <row r="12" spans="1:30" x14ac:dyDescent="0.35">
      <c r="I12" t="s">
        <v>50</v>
      </c>
      <c r="J12" s="2"/>
      <c r="K12" s="2"/>
      <c r="L12" s="2"/>
      <c r="M12" s="2">
        <v>0.20005050505050506</v>
      </c>
      <c r="N12" s="2">
        <v>0.20267346938775516</v>
      </c>
      <c r="O12" s="2">
        <v>0.15883333333333333</v>
      </c>
      <c r="P12" s="2">
        <v>0.19422563295290568</v>
      </c>
      <c r="U12" t="s">
        <v>130</v>
      </c>
      <c r="W12" s="7">
        <v>0.10807486631016039</v>
      </c>
      <c r="X12" s="2">
        <v>24736.95</v>
      </c>
    </row>
    <row r="13" spans="1:30" x14ac:dyDescent="0.35">
      <c r="I13" t="s">
        <v>27</v>
      </c>
      <c r="J13" s="2"/>
      <c r="K13" s="2"/>
      <c r="L13" s="2">
        <v>0.16274358974358974</v>
      </c>
      <c r="M13" s="2">
        <v>0.16759007518173952</v>
      </c>
      <c r="N13" s="2">
        <v>0.15601884920634923</v>
      </c>
      <c r="O13" s="2"/>
      <c r="P13" s="2">
        <v>0.16311251752350134</v>
      </c>
    </row>
    <row r="14" spans="1:30" x14ac:dyDescent="0.35">
      <c r="I14" t="s">
        <v>35</v>
      </c>
      <c r="J14" s="2">
        <v>0.11628590796482099</v>
      </c>
      <c r="K14" s="2">
        <v>0.11891358225108226</v>
      </c>
      <c r="L14" s="2">
        <v>0.12147368421052632</v>
      </c>
      <c r="M14" s="2"/>
      <c r="N14" s="2">
        <v>0.12305555555555556</v>
      </c>
      <c r="O14" s="2"/>
      <c r="P14" s="2">
        <v>0.11853272006296948</v>
      </c>
    </row>
    <row r="15" spans="1:30" x14ac:dyDescent="0.35">
      <c r="A15" s="5" t="s">
        <v>3</v>
      </c>
      <c r="B15" t="s" vm="1">
        <v>138</v>
      </c>
      <c r="I15" t="s">
        <v>9</v>
      </c>
      <c r="J15" s="2">
        <v>0.15027190721649486</v>
      </c>
      <c r="K15" s="2">
        <v>0.15235294117647061</v>
      </c>
      <c r="L15" s="2">
        <v>0.1490394736842105</v>
      </c>
      <c r="M15" s="2"/>
      <c r="N15" s="2"/>
      <c r="O15" s="2"/>
      <c r="P15" s="2">
        <v>0.15019514059557623</v>
      </c>
    </row>
    <row r="16" spans="1:30" x14ac:dyDescent="0.35">
      <c r="I16" t="s">
        <v>29</v>
      </c>
      <c r="J16" s="2">
        <v>0.18217861305361305</v>
      </c>
      <c r="K16" s="2">
        <v>0.1854356113274008</v>
      </c>
      <c r="L16" s="2"/>
      <c r="M16" s="2">
        <v>0.17925416666666666</v>
      </c>
      <c r="N16" s="2"/>
      <c r="O16" s="2"/>
      <c r="P16" s="2">
        <v>0.18261440216999864</v>
      </c>
    </row>
    <row r="17" spans="1:22" x14ac:dyDescent="0.35">
      <c r="A17" s="5" t="s">
        <v>1</v>
      </c>
      <c r="B17" t="s">
        <v>133</v>
      </c>
      <c r="I17" t="s">
        <v>48</v>
      </c>
      <c r="J17" s="2">
        <v>0.13244791666666667</v>
      </c>
      <c r="K17" s="2"/>
      <c r="L17" s="2">
        <v>0.1413128658878659</v>
      </c>
      <c r="M17" s="2"/>
      <c r="N17" s="2">
        <v>0.13449465240641711</v>
      </c>
      <c r="O17" s="2"/>
      <c r="P17" s="2">
        <v>0.13817623334733628</v>
      </c>
    </row>
    <row r="18" spans="1:22" x14ac:dyDescent="0.35">
      <c r="A18" t="s">
        <v>19</v>
      </c>
      <c r="B18" s="4">
        <v>5220</v>
      </c>
      <c r="I18" t="s">
        <v>43</v>
      </c>
      <c r="J18" s="2">
        <v>0.1451923076923077</v>
      </c>
      <c r="K18" s="2">
        <v>0.15416775931775931</v>
      </c>
      <c r="L18" s="2">
        <v>0.15066666666666667</v>
      </c>
      <c r="M18" s="2">
        <v>0.15288907753254102</v>
      </c>
      <c r="N18" s="2"/>
      <c r="O18" s="2"/>
      <c r="P18" s="2">
        <v>0.15268479662392304</v>
      </c>
    </row>
    <row r="19" spans="1:22" x14ac:dyDescent="0.35">
      <c r="A19" t="s">
        <v>14</v>
      </c>
      <c r="B19" s="4">
        <v>8600</v>
      </c>
      <c r="I19" t="s">
        <v>31</v>
      </c>
      <c r="J19" s="2"/>
      <c r="K19" s="2">
        <v>0.15</v>
      </c>
      <c r="L19" s="2">
        <v>0.1552780610821099</v>
      </c>
      <c r="M19" s="2"/>
      <c r="N19" s="2">
        <v>0.1515467320261438</v>
      </c>
      <c r="O19" s="2"/>
      <c r="P19" s="2">
        <v>0.15378060215029099</v>
      </c>
    </row>
    <row r="20" spans="1:22" x14ac:dyDescent="0.35">
      <c r="A20" t="s">
        <v>37</v>
      </c>
      <c r="B20" s="4">
        <v>3300</v>
      </c>
      <c r="I20" t="s">
        <v>21</v>
      </c>
      <c r="J20" s="2"/>
      <c r="K20" s="2">
        <v>0.15216339869281048</v>
      </c>
      <c r="L20" s="2">
        <v>0.14799999999999999</v>
      </c>
      <c r="M20" s="2">
        <v>0.15</v>
      </c>
      <c r="N20" s="2"/>
      <c r="O20" s="2"/>
      <c r="P20" s="2">
        <v>0.15058169934640525</v>
      </c>
    </row>
    <row r="21" spans="1:22" x14ac:dyDescent="0.35">
      <c r="A21" t="s">
        <v>27</v>
      </c>
      <c r="B21" s="4">
        <v>5950</v>
      </c>
      <c r="I21" t="s">
        <v>46</v>
      </c>
      <c r="J21" s="2"/>
      <c r="K21" s="2"/>
      <c r="L21" s="2"/>
      <c r="M21" s="2"/>
      <c r="N21" s="2">
        <v>0.15062500000000001</v>
      </c>
      <c r="O21" s="2"/>
      <c r="P21" s="2">
        <v>0.15062500000000001</v>
      </c>
    </row>
    <row r="22" spans="1:22" x14ac:dyDescent="0.35">
      <c r="A22" t="s">
        <v>48</v>
      </c>
      <c r="B22" s="4">
        <v>17700</v>
      </c>
      <c r="I22" t="s">
        <v>33</v>
      </c>
      <c r="J22" s="2"/>
      <c r="K22" s="2"/>
      <c r="L22" s="2"/>
      <c r="M22" s="2"/>
      <c r="N22" s="2"/>
      <c r="O22" s="2">
        <v>0.20133333333333334</v>
      </c>
      <c r="P22" s="2">
        <v>0.20133333333333334</v>
      </c>
    </row>
    <row r="23" spans="1:22" x14ac:dyDescent="0.35">
      <c r="A23" t="s">
        <v>23</v>
      </c>
      <c r="B23" s="4">
        <v>10320</v>
      </c>
      <c r="I23" t="s">
        <v>130</v>
      </c>
      <c r="J23" s="2">
        <v>0.15417138504187755</v>
      </c>
      <c r="K23" s="2">
        <v>0.15697390543559009</v>
      </c>
      <c r="L23" s="2">
        <v>0.15590563230522034</v>
      </c>
      <c r="M23" s="2">
        <v>0.16320001296443379</v>
      </c>
      <c r="N23" s="2">
        <v>0.16725676587840405</v>
      </c>
      <c r="O23" s="2">
        <v>0.16738040700730053</v>
      </c>
      <c r="P23" s="2">
        <v>0.15960563905283365</v>
      </c>
    </row>
    <row r="24" spans="1:22" x14ac:dyDescent="0.35">
      <c r="A24" t="s">
        <v>41</v>
      </c>
      <c r="B24" s="4">
        <v>10750</v>
      </c>
      <c r="U24" t="s">
        <v>129</v>
      </c>
    </row>
    <row r="25" spans="1:22" x14ac:dyDescent="0.35">
      <c r="A25" t="s">
        <v>31</v>
      </c>
      <c r="B25" s="4">
        <v>9550</v>
      </c>
      <c r="U25" s="2">
        <v>24736.95</v>
      </c>
      <c r="V25" s="2">
        <f>GETPIVOTDATA("[Measures].[Sum of profit]",$U$24)</f>
        <v>24736.95</v>
      </c>
    </row>
    <row r="26" spans="1:22" x14ac:dyDescent="0.35">
      <c r="A26" t="s">
        <v>17</v>
      </c>
      <c r="B26" s="4">
        <v>5020</v>
      </c>
    </row>
    <row r="27" spans="1:22" x14ac:dyDescent="0.35">
      <c r="A27" t="s">
        <v>39</v>
      </c>
      <c r="B27" s="4">
        <v>3950</v>
      </c>
      <c r="U27" t="s">
        <v>133</v>
      </c>
    </row>
    <row r="28" spans="1:22" x14ac:dyDescent="0.35">
      <c r="A28" t="s">
        <v>12</v>
      </c>
      <c r="B28" s="4">
        <v>31700</v>
      </c>
      <c r="U28" s="4">
        <v>160740</v>
      </c>
      <c r="V28" s="4">
        <f>GETPIVOTDATA("[Measures].[Sum of revenue]",$U$27)</f>
        <v>160740</v>
      </c>
    </row>
    <row r="29" spans="1:22" x14ac:dyDescent="0.35">
      <c r="A29" t="s">
        <v>25</v>
      </c>
      <c r="B29" s="4">
        <v>14450</v>
      </c>
    </row>
    <row r="30" spans="1:22" x14ac:dyDescent="0.35">
      <c r="A30" t="s">
        <v>50</v>
      </c>
      <c r="B30" s="4">
        <v>2200</v>
      </c>
      <c r="U30" t="s">
        <v>132</v>
      </c>
    </row>
    <row r="31" spans="1:22" x14ac:dyDescent="0.35">
      <c r="A31" t="s">
        <v>35</v>
      </c>
      <c r="B31" s="4">
        <v>11250</v>
      </c>
      <c r="U31">
        <v>927</v>
      </c>
      <c r="V31">
        <f>GETPIVOTDATA("[Measures].[Sum of quantity]",$U$30)</f>
        <v>927</v>
      </c>
    </row>
    <row r="32" spans="1:22" x14ac:dyDescent="0.35">
      <c r="A32" t="s">
        <v>9</v>
      </c>
      <c r="B32" s="4">
        <v>4940</v>
      </c>
    </row>
    <row r="33" spans="1:22" x14ac:dyDescent="0.35">
      <c r="A33" t="s">
        <v>29</v>
      </c>
      <c r="B33" s="4">
        <v>4940</v>
      </c>
      <c r="U33" t="s">
        <v>134</v>
      </c>
    </row>
    <row r="34" spans="1:22" x14ac:dyDescent="0.35">
      <c r="A34" t="s">
        <v>43</v>
      </c>
      <c r="B34" s="4">
        <v>6850</v>
      </c>
      <c r="U34" s="7">
        <v>0.10807486631016039</v>
      </c>
      <c r="V34" s="10">
        <f>GETPIVOTDATA("[Measures].[Average of discount]",$U$33)</f>
        <v>0.10807486631016039</v>
      </c>
    </row>
    <row r="35" spans="1:22" x14ac:dyDescent="0.35">
      <c r="A35" t="s">
        <v>21</v>
      </c>
      <c r="B35" s="4">
        <v>3500</v>
      </c>
    </row>
    <row r="36" spans="1:22" x14ac:dyDescent="0.35">
      <c r="A36" t="s">
        <v>46</v>
      </c>
      <c r="B36" s="4">
        <v>400</v>
      </c>
      <c r="K36" s="5" t="s">
        <v>133</v>
      </c>
      <c r="L36" s="5" t="s">
        <v>2</v>
      </c>
    </row>
    <row r="37" spans="1:22" x14ac:dyDescent="0.35">
      <c r="A37" t="s">
        <v>33</v>
      </c>
      <c r="B37" s="4">
        <v>150</v>
      </c>
      <c r="K37" s="5" t="s">
        <v>0</v>
      </c>
      <c r="L37" t="s">
        <v>10</v>
      </c>
      <c r="M37" t="s">
        <v>15</v>
      </c>
      <c r="N37" t="s">
        <v>130</v>
      </c>
    </row>
    <row r="38" spans="1:22" x14ac:dyDescent="0.35">
      <c r="A38" t="s">
        <v>130</v>
      </c>
      <c r="B38" s="4">
        <v>160740</v>
      </c>
      <c r="K38" t="s">
        <v>104</v>
      </c>
      <c r="L38" s="4">
        <v>7200</v>
      </c>
      <c r="M38" s="4"/>
      <c r="N38" s="4">
        <v>7200</v>
      </c>
    </row>
    <row r="39" spans="1:22" x14ac:dyDescent="0.35">
      <c r="K39" t="s">
        <v>100</v>
      </c>
      <c r="L39" s="4">
        <v>5400</v>
      </c>
      <c r="M39" s="4"/>
      <c r="N39" s="4">
        <v>5400</v>
      </c>
    </row>
    <row r="40" spans="1:22" x14ac:dyDescent="0.35">
      <c r="K40" t="s">
        <v>124</v>
      </c>
      <c r="L40" s="4">
        <v>4820</v>
      </c>
      <c r="M40" s="4"/>
      <c r="N40" s="4">
        <v>4820</v>
      </c>
    </row>
    <row r="41" spans="1:22" x14ac:dyDescent="0.35">
      <c r="K41" t="s">
        <v>112</v>
      </c>
      <c r="L41" s="4">
        <v>4780</v>
      </c>
      <c r="M41" s="4"/>
      <c r="N41" s="4">
        <v>4780</v>
      </c>
      <c r="U41" t="s">
        <v>137</v>
      </c>
    </row>
    <row r="42" spans="1:22" x14ac:dyDescent="0.35">
      <c r="K42" t="s">
        <v>101</v>
      </c>
      <c r="L42" s="4"/>
      <c r="M42" s="4">
        <v>4570</v>
      </c>
      <c r="N42" s="4">
        <v>4570</v>
      </c>
      <c r="U42">
        <v>187</v>
      </c>
      <c r="V42">
        <f>GETPIVOTDATA("[Measures].[Count of product]",$U$41)</f>
        <v>187</v>
      </c>
    </row>
    <row r="43" spans="1:22" x14ac:dyDescent="0.35">
      <c r="K43" t="s">
        <v>116</v>
      </c>
      <c r="L43" s="4">
        <v>4530</v>
      </c>
      <c r="M43" s="4"/>
      <c r="N43" s="4">
        <v>4530</v>
      </c>
    </row>
    <row r="44" spans="1:22" x14ac:dyDescent="0.35">
      <c r="K44" t="s">
        <v>109</v>
      </c>
      <c r="L44" s="4"/>
      <c r="M44" s="4">
        <v>4250</v>
      </c>
      <c r="N44" s="4">
        <v>4250</v>
      </c>
    </row>
    <row r="45" spans="1:22" x14ac:dyDescent="0.35">
      <c r="K45" t="s">
        <v>125</v>
      </c>
      <c r="L45" s="4"/>
      <c r="M45" s="4">
        <v>4220</v>
      </c>
      <c r="N45" s="4">
        <v>4220</v>
      </c>
    </row>
    <row r="46" spans="1:22" x14ac:dyDescent="0.35">
      <c r="K46" t="s">
        <v>108</v>
      </c>
      <c r="L46" s="4">
        <v>4180</v>
      </c>
      <c r="M46" s="4"/>
      <c r="N46" s="4">
        <v>4180</v>
      </c>
    </row>
    <row r="47" spans="1:22" x14ac:dyDescent="0.35">
      <c r="K47" t="s">
        <v>120</v>
      </c>
      <c r="L47" s="4">
        <v>4160</v>
      </c>
      <c r="M47" s="4"/>
      <c r="N47" s="4">
        <v>4160</v>
      </c>
    </row>
    <row r="48" spans="1:22" x14ac:dyDescent="0.35">
      <c r="K48" t="s">
        <v>130</v>
      </c>
      <c r="L48" s="4">
        <v>35070</v>
      </c>
      <c r="M48" s="4">
        <v>13040</v>
      </c>
      <c r="N48" s="4">
        <v>48110</v>
      </c>
    </row>
    <row r="55" spans="1:3" x14ac:dyDescent="0.35">
      <c r="A55" s="5" t="s">
        <v>1</v>
      </c>
      <c r="B55" t="s">
        <v>132</v>
      </c>
      <c r="C55" t="s">
        <v>129</v>
      </c>
    </row>
    <row r="56" spans="1:3" x14ac:dyDescent="0.35">
      <c r="A56" t="s">
        <v>23</v>
      </c>
      <c r="B56">
        <v>39</v>
      </c>
      <c r="C56" s="2">
        <v>1565.2</v>
      </c>
    </row>
    <row r="57" spans="1:3" x14ac:dyDescent="0.35">
      <c r="A57" t="s">
        <v>41</v>
      </c>
      <c r="B57">
        <v>20</v>
      </c>
      <c r="C57" s="2">
        <v>1752.95</v>
      </c>
    </row>
    <row r="58" spans="1:3" x14ac:dyDescent="0.35">
      <c r="A58" t="s">
        <v>19</v>
      </c>
      <c r="B58">
        <v>44</v>
      </c>
      <c r="C58" s="2">
        <v>839.35</v>
      </c>
    </row>
    <row r="59" spans="1:3" x14ac:dyDescent="0.35">
      <c r="A59" t="s">
        <v>14</v>
      </c>
      <c r="B59">
        <v>35</v>
      </c>
      <c r="C59" s="2">
        <v>1290.5999999999999</v>
      </c>
    </row>
    <row r="60" spans="1:3" x14ac:dyDescent="0.35">
      <c r="A60" t="s">
        <v>17</v>
      </c>
      <c r="B60">
        <v>98</v>
      </c>
      <c r="C60" s="2">
        <v>872.45</v>
      </c>
    </row>
    <row r="61" spans="1:3" x14ac:dyDescent="0.35">
      <c r="A61" t="s">
        <v>39</v>
      </c>
      <c r="B61">
        <v>110</v>
      </c>
      <c r="C61" s="2">
        <v>715.55</v>
      </c>
    </row>
    <row r="62" spans="1:3" x14ac:dyDescent="0.35">
      <c r="A62" t="s">
        <v>37</v>
      </c>
      <c r="B62">
        <v>56</v>
      </c>
      <c r="C62" s="2">
        <v>553</v>
      </c>
    </row>
    <row r="63" spans="1:3" x14ac:dyDescent="0.35">
      <c r="A63" t="s">
        <v>12</v>
      </c>
      <c r="B63">
        <v>25</v>
      </c>
      <c r="C63" s="2">
        <v>4703.25</v>
      </c>
    </row>
    <row r="64" spans="1:3" x14ac:dyDescent="0.35">
      <c r="A64" t="s">
        <v>25</v>
      </c>
      <c r="B64">
        <v>32</v>
      </c>
      <c r="C64" s="2">
        <v>2455.1999999999998</v>
      </c>
    </row>
    <row r="65" spans="1:3" x14ac:dyDescent="0.35">
      <c r="A65" t="s">
        <v>50</v>
      </c>
      <c r="B65">
        <v>135</v>
      </c>
      <c r="C65" s="2">
        <v>440.75</v>
      </c>
    </row>
    <row r="66" spans="1:3" x14ac:dyDescent="0.35">
      <c r="A66" t="s">
        <v>27</v>
      </c>
      <c r="B66">
        <v>45</v>
      </c>
      <c r="C66" s="2">
        <v>978.45</v>
      </c>
    </row>
    <row r="67" spans="1:3" x14ac:dyDescent="0.35">
      <c r="A67" t="s">
        <v>35</v>
      </c>
      <c r="B67">
        <v>40</v>
      </c>
      <c r="C67" s="2">
        <v>1330</v>
      </c>
    </row>
    <row r="68" spans="1:3" x14ac:dyDescent="0.35">
      <c r="A68" t="s">
        <v>9</v>
      </c>
      <c r="B68">
        <v>25</v>
      </c>
      <c r="C68" s="2">
        <v>742.15</v>
      </c>
    </row>
    <row r="69" spans="1:3" x14ac:dyDescent="0.35">
      <c r="A69" t="s">
        <v>29</v>
      </c>
      <c r="B69">
        <v>72</v>
      </c>
      <c r="C69" s="2">
        <v>903.7</v>
      </c>
    </row>
    <row r="70" spans="1:3" x14ac:dyDescent="0.35">
      <c r="A70" t="s">
        <v>48</v>
      </c>
      <c r="B70">
        <v>10</v>
      </c>
      <c r="C70" s="2">
        <v>2452.25</v>
      </c>
    </row>
    <row r="71" spans="1:3" x14ac:dyDescent="0.35">
      <c r="A71" t="s">
        <v>43</v>
      </c>
      <c r="B71">
        <v>77</v>
      </c>
      <c r="C71" s="2">
        <v>1051.25</v>
      </c>
    </row>
    <row r="72" spans="1:3" x14ac:dyDescent="0.35">
      <c r="A72" t="s">
        <v>31</v>
      </c>
      <c r="B72">
        <v>23</v>
      </c>
      <c r="C72" s="2">
        <v>1473.6</v>
      </c>
    </row>
    <row r="73" spans="1:3" x14ac:dyDescent="0.35">
      <c r="A73" t="s">
        <v>21</v>
      </c>
      <c r="B73">
        <v>24</v>
      </c>
      <c r="C73" s="2">
        <v>526.79999999999995</v>
      </c>
    </row>
    <row r="74" spans="1:3" x14ac:dyDescent="0.35">
      <c r="A74" t="s">
        <v>46</v>
      </c>
      <c r="B74">
        <v>5</v>
      </c>
      <c r="C74" s="2">
        <v>60.25</v>
      </c>
    </row>
    <row r="75" spans="1:3" x14ac:dyDescent="0.35">
      <c r="A75" t="s">
        <v>33</v>
      </c>
      <c r="B75">
        <v>12</v>
      </c>
      <c r="C75" s="2">
        <v>30.2</v>
      </c>
    </row>
    <row r="76" spans="1:3" x14ac:dyDescent="0.35">
      <c r="A76" t="s">
        <v>130</v>
      </c>
      <c r="B76">
        <v>927</v>
      </c>
      <c r="C76" s="2">
        <v>24736.95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84B0-28BD-456C-B246-1E4089A94EDC}">
  <dimension ref="A1:Z45"/>
  <sheetViews>
    <sheetView showGridLines="0" showRowColHeaders="0" tabSelected="1" zoomScale="76" zoomScaleNormal="76" workbookViewId="0">
      <selection activeCell="L12" sqref="L12"/>
    </sheetView>
  </sheetViews>
  <sheetFormatPr defaultRowHeight="14.5" x14ac:dyDescent="0.35"/>
  <sheetData>
    <row r="1" spans="1:26" x14ac:dyDescent="0.35">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x14ac:dyDescent="0.35">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x14ac:dyDescent="0.35">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x14ac:dyDescent="0.35">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x14ac:dyDescent="0.35">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35">
      <c r="A6" s="8"/>
      <c r="B6" s="8"/>
      <c r="C6" s="8"/>
      <c r="D6" s="8"/>
      <c r="E6" s="8"/>
      <c r="F6" s="8"/>
      <c r="G6" s="8"/>
      <c r="H6" s="8"/>
      <c r="I6" s="8"/>
      <c r="J6" s="8"/>
      <c r="K6" s="8"/>
      <c r="L6" s="8"/>
      <c r="M6" s="8"/>
      <c r="N6" s="8"/>
      <c r="O6" s="8"/>
      <c r="P6" s="8"/>
      <c r="Q6" s="8"/>
      <c r="R6" s="8"/>
      <c r="S6" s="8"/>
      <c r="T6" s="8"/>
      <c r="U6" s="8"/>
      <c r="V6" s="8"/>
      <c r="W6" s="8"/>
      <c r="X6" s="8"/>
      <c r="Y6" s="8"/>
      <c r="Z6" s="8"/>
    </row>
    <row r="7" spans="1:26" x14ac:dyDescent="0.35">
      <c r="A7" s="8"/>
      <c r="B7" s="8"/>
      <c r="C7" s="8"/>
      <c r="D7" s="8"/>
      <c r="E7" s="8"/>
      <c r="F7" s="8"/>
      <c r="G7" s="8"/>
      <c r="H7" s="8"/>
      <c r="I7" s="8"/>
      <c r="J7" s="8"/>
      <c r="K7" s="8"/>
      <c r="L7" s="8"/>
      <c r="M7" s="8"/>
      <c r="N7" s="8"/>
      <c r="O7" s="8"/>
      <c r="P7" s="8"/>
      <c r="Q7" s="8"/>
      <c r="R7" s="8"/>
      <c r="S7" s="8"/>
      <c r="T7" s="8"/>
      <c r="U7" s="8"/>
      <c r="V7" s="8"/>
      <c r="W7" s="8"/>
      <c r="X7" s="8"/>
      <c r="Y7" s="8"/>
      <c r="Z7" s="8"/>
    </row>
    <row r="8" spans="1:26" x14ac:dyDescent="0.35">
      <c r="A8" s="8"/>
      <c r="B8" s="8"/>
      <c r="C8" s="8"/>
      <c r="D8" s="8"/>
      <c r="E8" s="8"/>
      <c r="F8" s="8"/>
      <c r="G8" s="8"/>
      <c r="H8" s="8"/>
      <c r="I8" s="8"/>
      <c r="J8" s="8"/>
      <c r="K8" s="8"/>
      <c r="L8" s="8"/>
      <c r="M8" s="8"/>
      <c r="N8" s="8"/>
      <c r="O8" s="8"/>
      <c r="P8" s="8"/>
      <c r="Q8" s="8"/>
      <c r="R8" s="8"/>
      <c r="S8" s="8"/>
      <c r="T8" s="8"/>
      <c r="U8" s="8"/>
      <c r="V8" s="8"/>
      <c r="W8" s="8"/>
      <c r="X8" s="8"/>
      <c r="Y8" s="8"/>
      <c r="Z8" s="8"/>
    </row>
    <row r="9" spans="1:26" x14ac:dyDescent="0.35">
      <c r="A9" s="8"/>
      <c r="B9" s="8"/>
      <c r="C9" s="8"/>
      <c r="D9" s="8"/>
      <c r="E9" s="8"/>
      <c r="F9" s="8"/>
      <c r="G9" s="8"/>
      <c r="H9" s="8"/>
      <c r="I9" s="8"/>
      <c r="J9" s="8"/>
      <c r="K9" s="8"/>
      <c r="L9" s="8"/>
      <c r="M9" s="8"/>
      <c r="N9" s="8"/>
      <c r="O9" s="8"/>
      <c r="P9" s="8"/>
      <c r="Q9" s="8"/>
      <c r="R9" s="8"/>
      <c r="S9" s="8"/>
      <c r="T9" s="8"/>
      <c r="U9" s="8"/>
      <c r="V9" s="8"/>
      <c r="W9" s="8"/>
      <c r="X9" s="8"/>
      <c r="Y9" s="8"/>
      <c r="Z9" s="8"/>
    </row>
    <row r="10" spans="1:26"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3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3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3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3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3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35">
      <c r="A45" s="9"/>
      <c r="B45" s="9"/>
      <c r="C45" s="9"/>
      <c r="D45" s="9"/>
      <c r="E45" s="9"/>
      <c r="F45" s="9"/>
      <c r="G45" s="9"/>
      <c r="H45" s="9"/>
      <c r="I45" s="9"/>
      <c r="J45" s="9"/>
      <c r="K45" s="9"/>
      <c r="L45" s="9"/>
      <c r="M45" s="9"/>
      <c r="N45" s="9"/>
      <c r="O45" s="9"/>
      <c r="P45" s="9"/>
      <c r="Q45" s="9"/>
      <c r="R45" s="9"/>
      <c r="S45" s="9"/>
      <c r="T45" s="9"/>
      <c r="U45" s="9"/>
      <c r="V45" s="9"/>
      <c r="W45" s="9"/>
      <c r="X45" s="9"/>
      <c r="Y45" s="9"/>
      <c r="Z45"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sales_dataset</vt:lpstr>
      <vt:lpstr>sales_dataset (2)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USER</cp:lastModifiedBy>
  <dcterms:created xsi:type="dcterms:W3CDTF">2025-08-02T22:16:12Z</dcterms:created>
  <dcterms:modified xsi:type="dcterms:W3CDTF">2025-10-05T12:44:08Z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8b3c2e70-5d5a-42d2-903a-8faf3006de35</vt:lpwstr>
  </property>
</Properties>
</file>